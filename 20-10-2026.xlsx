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VH00200\Desktop\"/>
    </mc:Choice>
  </mc:AlternateContent>
  <xr:revisionPtr revIDLastSave="0" documentId="13_ncr:1_{A604EE66-6334-4B9D-A903-84F3BB69CE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4" r:id="rId2"/>
    <sheet name="Sheet2" sheetId="3" r:id="rId3"/>
  </sheets>
  <definedNames>
    <definedName name="_xlnm._FilterDatabase" localSheetId="0" hidden="1">Sheet1!$C$2:$N$91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2" i="1" l="1"/>
  <c r="L172" i="1" s="1"/>
  <c r="I170" i="1"/>
  <c r="L170" i="1" s="1"/>
  <c r="I168" i="1"/>
  <c r="L168" i="1" s="1"/>
  <c r="I167" i="1"/>
  <c r="L167" i="1" s="1"/>
  <c r="I166" i="1"/>
  <c r="L166" i="1" s="1"/>
  <c r="I163" i="1"/>
  <c r="L163" i="1" s="1"/>
  <c r="I161" i="1"/>
  <c r="L161" i="1" s="1"/>
  <c r="I160" i="1"/>
  <c r="L160" i="1" s="1"/>
  <c r="I159" i="1"/>
  <c r="L159" i="1" s="1"/>
  <c r="I197" i="1"/>
  <c r="L197" i="1" s="1"/>
  <c r="I196" i="1"/>
  <c r="L196" i="1" s="1"/>
  <c r="I195" i="1"/>
  <c r="L195" i="1" s="1"/>
  <c r="I194" i="1"/>
  <c r="L194" i="1" s="1"/>
  <c r="I193" i="1"/>
  <c r="L193" i="1" s="1"/>
  <c r="I192" i="1"/>
  <c r="L192" i="1" s="1"/>
  <c r="I191" i="1"/>
  <c r="L191" i="1" s="1"/>
  <c r="I190" i="1"/>
  <c r="L190" i="1" s="1"/>
  <c r="I189" i="1"/>
  <c r="L189" i="1" s="1"/>
  <c r="I188" i="1"/>
  <c r="L188" i="1" s="1"/>
  <c r="I187" i="1"/>
  <c r="L187" i="1" s="1"/>
  <c r="I186" i="1"/>
  <c r="L186" i="1" s="1"/>
  <c r="I185" i="1"/>
  <c r="L185" i="1" s="1"/>
  <c r="I184" i="1"/>
  <c r="L184" i="1" s="1"/>
  <c r="I183" i="1"/>
  <c r="L183" i="1" s="1"/>
  <c r="I182" i="1"/>
  <c r="L182" i="1" s="1"/>
  <c r="I181" i="1"/>
  <c r="L181" i="1" s="1"/>
  <c r="I180" i="1"/>
  <c r="L180" i="1" s="1"/>
  <c r="I179" i="1"/>
  <c r="L179" i="1" s="1"/>
  <c r="I178" i="1"/>
  <c r="L178" i="1" s="1"/>
  <c r="I177" i="1"/>
  <c r="L177" i="1" s="1"/>
  <c r="I176" i="1"/>
  <c r="L176" i="1" s="1"/>
  <c r="I175" i="1"/>
  <c r="L175" i="1" s="1"/>
  <c r="I174" i="1"/>
  <c r="L174" i="1" s="1"/>
  <c r="I173" i="1"/>
  <c r="L173" i="1" s="1"/>
  <c r="F155" i="1"/>
  <c r="I155" i="1" s="1"/>
  <c r="L155" i="1" s="1"/>
  <c r="F154" i="1"/>
  <c r="I154" i="1" s="1"/>
  <c r="L154" i="1" s="1"/>
  <c r="F153" i="1"/>
  <c r="I153" i="1" s="1"/>
  <c r="L153" i="1" s="1"/>
  <c r="I171" i="1"/>
  <c r="L171" i="1" s="1"/>
  <c r="I169" i="1"/>
  <c r="L169" i="1" s="1"/>
  <c r="I165" i="1"/>
  <c r="L165" i="1" s="1"/>
  <c r="I164" i="1"/>
  <c r="L164" i="1" s="1"/>
  <c r="I162" i="1"/>
  <c r="L162" i="1" s="1"/>
  <c r="I158" i="1"/>
  <c r="L158" i="1" s="1"/>
  <c r="I157" i="1"/>
  <c r="L157" i="1" s="1"/>
  <c r="F156" i="1"/>
  <c r="I156" i="1" s="1"/>
  <c r="L156" i="1" s="1"/>
  <c r="F152" i="1"/>
  <c r="I152" i="1" s="1"/>
  <c r="L152" i="1" s="1"/>
  <c r="F151" i="1"/>
  <c r="I151" i="1" s="1"/>
  <c r="L151" i="1" s="1"/>
  <c r="F150" i="1"/>
  <c r="I150" i="1" s="1"/>
  <c r="L150" i="1" s="1"/>
  <c r="F149" i="1"/>
  <c r="I149" i="1" s="1"/>
  <c r="L149" i="1" s="1"/>
  <c r="F148" i="1"/>
  <c r="I148" i="1" s="1"/>
  <c r="L148" i="1" s="1"/>
  <c r="F147" i="1"/>
  <c r="I147" i="1" s="1"/>
  <c r="L147" i="1" s="1"/>
  <c r="F146" i="1"/>
  <c r="I146" i="1" s="1"/>
  <c r="L146" i="1" s="1"/>
  <c r="F145" i="1"/>
  <c r="I145" i="1" s="1"/>
  <c r="L145" i="1" s="1"/>
  <c r="I144" i="1"/>
  <c r="L144" i="1" s="1"/>
  <c r="F140" i="1"/>
  <c r="I140" i="1" s="1"/>
  <c r="L140" i="1" s="1"/>
  <c r="F136" i="1"/>
  <c r="I136" i="1" s="1"/>
  <c r="L136" i="1" s="1"/>
  <c r="F134" i="1"/>
  <c r="I134" i="1" s="1"/>
  <c r="L134" i="1" s="1"/>
  <c r="F132" i="1"/>
  <c r="I132" i="1" s="1"/>
  <c r="L132" i="1" s="1"/>
  <c r="F130" i="1"/>
  <c r="I130" i="1" s="1"/>
  <c r="L130" i="1" s="1"/>
  <c r="F143" i="1"/>
  <c r="I143" i="1" s="1"/>
  <c r="L143" i="1" s="1"/>
  <c r="F142" i="1"/>
  <c r="I142" i="1" s="1"/>
  <c r="L142" i="1" s="1"/>
  <c r="F141" i="1"/>
  <c r="I141" i="1" s="1"/>
  <c r="L141" i="1" s="1"/>
  <c r="F139" i="1"/>
  <c r="I139" i="1" s="1"/>
  <c r="L139" i="1" s="1"/>
  <c r="F138" i="1"/>
  <c r="I138" i="1" s="1"/>
  <c r="L138" i="1" s="1"/>
  <c r="F137" i="1"/>
  <c r="I137" i="1" s="1"/>
  <c r="L137" i="1" s="1"/>
  <c r="F135" i="1"/>
  <c r="I135" i="1" s="1"/>
  <c r="L135" i="1" s="1"/>
  <c r="F133" i="1"/>
  <c r="I133" i="1" s="1"/>
  <c r="L133" i="1" s="1"/>
  <c r="F131" i="1"/>
  <c r="I131" i="1" s="1"/>
  <c r="L131" i="1" s="1"/>
  <c r="F129" i="1"/>
  <c r="I129" i="1" s="1"/>
  <c r="L129" i="1" s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16" i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C99" i="1" l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I101" i="1"/>
  <c r="L101" i="1" s="1"/>
  <c r="I104" i="1"/>
  <c r="L104" i="1" s="1"/>
  <c r="I103" i="1"/>
  <c r="L103" i="1" s="1"/>
  <c r="I102" i="1"/>
  <c r="L102" i="1" s="1"/>
  <c r="I100" i="1"/>
  <c r="L100" i="1" s="1"/>
  <c r="I99" i="1"/>
  <c r="L99" i="1" s="1"/>
  <c r="C96" i="1"/>
  <c r="C97" i="1"/>
  <c r="C98" i="1"/>
  <c r="F98" i="1"/>
  <c r="I98" i="1" s="1"/>
  <c r="L98" i="1" s="1"/>
  <c r="F97" i="1"/>
  <c r="I97" i="1" s="1"/>
  <c r="L97" i="1" s="1"/>
  <c r="F96" i="1"/>
  <c r="I96" i="1" s="1"/>
  <c r="L96" i="1" s="1"/>
  <c r="I3" i="3"/>
  <c r="I4" i="3"/>
  <c r="I5" i="3"/>
  <c r="I6" i="3"/>
  <c r="I7" i="3"/>
  <c r="I8" i="3"/>
  <c r="I9" i="3"/>
  <c r="F92" i="1" s="1"/>
  <c r="I92" i="1" s="1"/>
  <c r="L92" i="1" s="1"/>
  <c r="I10" i="3"/>
  <c r="I11" i="3"/>
  <c r="I12" i="3"/>
  <c r="I13" i="3"/>
  <c r="I14" i="3"/>
  <c r="I15" i="3"/>
  <c r="I16" i="3"/>
  <c r="F94" i="1" s="1"/>
  <c r="I94" i="1" s="1"/>
  <c r="L94" i="1" s="1"/>
  <c r="I17" i="3"/>
  <c r="I18" i="3"/>
  <c r="I19" i="3"/>
  <c r="I20" i="3"/>
  <c r="I21" i="3"/>
  <c r="I2" i="3"/>
  <c r="C89" i="1"/>
  <c r="I89" i="1"/>
  <c r="L89" i="1" s="1"/>
  <c r="C86" i="1"/>
  <c r="C87" i="1"/>
  <c r="C88" i="1"/>
  <c r="C90" i="1"/>
  <c r="C91" i="1"/>
  <c r="C92" i="1"/>
  <c r="C93" i="1"/>
  <c r="C94" i="1"/>
  <c r="C95" i="1"/>
  <c r="I90" i="1"/>
  <c r="L90" i="1" s="1"/>
  <c r="I91" i="1"/>
  <c r="L91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F112" i="1" l="1"/>
  <c r="I112" i="1" s="1"/>
  <c r="L112" i="1" s="1"/>
  <c r="F110" i="1"/>
  <c r="I110" i="1" s="1"/>
  <c r="L110" i="1" s="1"/>
  <c r="F108" i="1"/>
  <c r="I108" i="1" s="1"/>
  <c r="L108" i="1" s="1"/>
  <c r="F107" i="1"/>
  <c r="I107" i="1" s="1"/>
  <c r="L107" i="1" s="1"/>
  <c r="F106" i="1"/>
  <c r="I106" i="1" s="1"/>
  <c r="L106" i="1" s="1"/>
  <c r="F105" i="1"/>
  <c r="I105" i="1" s="1"/>
  <c r="L105" i="1" s="1"/>
  <c r="F111" i="1"/>
  <c r="I111" i="1" s="1"/>
  <c r="L111" i="1" s="1"/>
  <c r="F109" i="1"/>
  <c r="I109" i="1" s="1"/>
  <c r="L109" i="1" s="1"/>
  <c r="F113" i="1"/>
  <c r="I113" i="1" s="1"/>
  <c r="L113" i="1" s="1"/>
  <c r="F114" i="1"/>
  <c r="I114" i="1" s="1"/>
  <c r="L114" i="1" s="1"/>
  <c r="F115" i="1"/>
  <c r="I115" i="1" s="1"/>
  <c r="L115" i="1" s="1"/>
  <c r="F95" i="1"/>
  <c r="I95" i="1" s="1"/>
  <c r="L95" i="1" s="1"/>
  <c r="F93" i="1"/>
  <c r="I93" i="1" s="1"/>
  <c r="L93" i="1" s="1"/>
  <c r="I11" i="1"/>
  <c r="L11" i="1" s="1"/>
  <c r="I39" i="1"/>
  <c r="L39" i="1" s="1"/>
  <c r="I88" i="1" l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5" i="1"/>
  <c r="L75" i="1" s="1"/>
  <c r="I74" i="1"/>
  <c r="L74" i="1" s="1"/>
  <c r="I73" i="1"/>
  <c r="L73" i="1" s="1"/>
  <c r="I72" i="1"/>
  <c r="L72" i="1" s="1"/>
  <c r="I71" i="1"/>
  <c r="L71" i="1" s="1"/>
  <c r="I70" i="1"/>
  <c r="L70" i="1" s="1"/>
  <c r="I53" i="1"/>
  <c r="L53" i="1" s="1"/>
  <c r="I69" i="1"/>
  <c r="L69" i="1" s="1"/>
  <c r="I68" i="1"/>
  <c r="L68" i="1" s="1"/>
  <c r="I51" i="1"/>
  <c r="L51" i="1" s="1"/>
  <c r="I64" i="1"/>
  <c r="L64" i="1" s="1"/>
  <c r="I65" i="1"/>
  <c r="L65" i="1" s="1"/>
  <c r="I66" i="1"/>
  <c r="L66" i="1" s="1"/>
  <c r="I52" i="1"/>
  <c r="L52" i="1" s="1"/>
  <c r="I67" i="1"/>
  <c r="L67" i="1" s="1"/>
  <c r="I48" i="1"/>
  <c r="L48" i="1" s="1"/>
  <c r="I61" i="1"/>
  <c r="L61" i="1" s="1"/>
  <c r="I62" i="1"/>
  <c r="L62" i="1" s="1"/>
  <c r="I63" i="1"/>
  <c r="L63" i="1" s="1"/>
  <c r="I49" i="1"/>
  <c r="L49" i="1" s="1"/>
  <c r="I50" i="1"/>
  <c r="L50" i="1" s="1"/>
  <c r="I47" i="1"/>
  <c r="L47" i="1" s="1"/>
  <c r="I60" i="1"/>
  <c r="L60" i="1" s="1"/>
  <c r="I59" i="1"/>
  <c r="L59" i="1" s="1"/>
  <c r="I58" i="1"/>
  <c r="L58" i="1" s="1"/>
  <c r="I57" i="1"/>
  <c r="L57" i="1" s="1"/>
  <c r="I56" i="1"/>
  <c r="L56" i="1" s="1"/>
  <c r="I55" i="1"/>
  <c r="L55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0" i="1"/>
  <c r="L40" i="1" s="1"/>
  <c r="I54" i="1"/>
  <c r="L54" i="1" s="1"/>
  <c r="I38" i="1"/>
  <c r="L38" i="1" s="1"/>
  <c r="I36" i="1"/>
  <c r="L36" i="1" s="1"/>
  <c r="I37" i="1"/>
  <c r="L37" i="1" s="1"/>
  <c r="I35" i="1"/>
  <c r="L35" i="1" s="1"/>
  <c r="I34" i="1"/>
  <c r="L34" i="1" s="1"/>
  <c r="I33" i="1"/>
  <c r="L33" i="1" s="1"/>
  <c r="I32" i="1"/>
  <c r="L32" i="1" s="1"/>
  <c r="I23" i="1"/>
  <c r="L23" i="1" s="1"/>
  <c r="I30" i="1"/>
  <c r="L30" i="1" s="1"/>
  <c r="I31" i="1"/>
  <c r="L31" i="1" s="1"/>
  <c r="I22" i="1" l="1"/>
  <c r="L22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0" i="1"/>
  <c r="L10" i="1" s="1"/>
  <c r="I9" i="1"/>
  <c r="L9" i="1" s="1"/>
  <c r="I8" i="1"/>
  <c r="L8" i="1" s="1"/>
  <c r="I7" i="1"/>
  <c r="L7" i="1" s="1"/>
  <c r="I6" i="1"/>
  <c r="L6" i="1" s="1"/>
  <c r="I5" i="1"/>
  <c r="L5" i="1" s="1"/>
  <c r="I4" i="1"/>
  <c r="L4" i="1" s="1"/>
  <c r="I3" i="1"/>
  <c r="L3" i="1" s="1"/>
  <c r="C3" i="1"/>
  <c r="P3" i="1" l="1"/>
</calcChain>
</file>

<file path=xl/sharedStrings.xml><?xml version="1.0" encoding="utf-8"?>
<sst xmlns="http://schemas.openxmlformats.org/spreadsheetml/2006/main" count="623" uniqueCount="231">
  <si>
    <t>Stt</t>
  </si>
  <si>
    <t xml:space="preserve">	Part No</t>
  </si>
  <si>
    <t>Đơn Giá</t>
  </si>
  <si>
    <t>P/O NO</t>
  </si>
  <si>
    <t>Số Lượng</t>
  </si>
  <si>
    <t>Total</t>
  </si>
  <si>
    <t>Trạng Thái</t>
  </si>
  <si>
    <t>Trạng thái</t>
  </si>
  <si>
    <t>Tháng  Thanh Toán</t>
  </si>
  <si>
    <t>PF2M711-02-A-M</t>
  </si>
  <si>
    <t>VH26M0233</t>
  </si>
  <si>
    <t>VH26M0231</t>
  </si>
  <si>
    <t>KQ2L04-02GS1</t>
  </si>
  <si>
    <t>VH26M0197</t>
  </si>
  <si>
    <t>VH26M0251</t>
  </si>
  <si>
    <t>CUJB20-PS</t>
  </si>
  <si>
    <t>VH26K0649</t>
  </si>
  <si>
    <t>VH26M0744</t>
  </si>
  <si>
    <t>CJP2B16D-PS</t>
  </si>
  <si>
    <t>VH26K0436</t>
  </si>
  <si>
    <t>VH26M0482</t>
  </si>
  <si>
    <t>CU10D-PS</t>
  </si>
  <si>
    <t>VH26M0066</t>
  </si>
  <si>
    <t xml:space="preserve">	VH26M0743</t>
  </si>
  <si>
    <t>CQSWB12-PS</t>
  </si>
  <si>
    <t>VH26K0463</t>
  </si>
  <si>
    <t>VH26M0527</t>
  </si>
  <si>
    <t>TU0425BU-100</t>
  </si>
  <si>
    <t>VH26M0123</t>
  </si>
  <si>
    <t>CQSB12-PS</t>
  </si>
  <si>
    <t>VH26K0473</t>
  </si>
  <si>
    <t>VH26M0607</t>
  </si>
  <si>
    <t>VH26N0419</t>
  </si>
  <si>
    <t xml:space="preserve">VH26N0447	</t>
  </si>
  <si>
    <t>MXH2B6-5-XC22</t>
  </si>
  <si>
    <t>VH26N0322</t>
  </si>
  <si>
    <t>Chưa Nhập kho</t>
  </si>
  <si>
    <t>VH26R0151</t>
  </si>
  <si>
    <t>VH26R0666</t>
  </si>
  <si>
    <t>VH26R0679</t>
  </si>
  <si>
    <t xml:space="preserve">	VH2680132</t>
  </si>
  <si>
    <t>VH26R0368</t>
  </si>
  <si>
    <t>VH2680134</t>
  </si>
  <si>
    <t>VH2680135</t>
  </si>
  <si>
    <t>VH2680131</t>
  </si>
  <si>
    <t>VH26R0472</t>
  </si>
  <si>
    <t>VH26T0272</t>
  </si>
  <si>
    <t xml:space="preserve">	VH26T0020</t>
  </si>
  <si>
    <t>VH2690070</t>
  </si>
  <si>
    <t xml:space="preserve">	VH2690065</t>
  </si>
  <si>
    <t>VH2690060</t>
  </si>
  <si>
    <t>VH2690054</t>
  </si>
  <si>
    <t>VH26T0283</t>
  </si>
  <si>
    <t>VH26T0335</t>
  </si>
  <si>
    <t>VH26T0327</t>
  </si>
  <si>
    <t>VH26R0226</t>
  </si>
  <si>
    <t>TU0425C-100</t>
  </si>
  <si>
    <t>VH26W0105</t>
  </si>
  <si>
    <t>VH26W0108</t>
  </si>
  <si>
    <t>VH26W0104</t>
  </si>
  <si>
    <t>VH26W0106</t>
  </si>
  <si>
    <t>RCP2W-RA6C-I-56P-4-50-P1-P</t>
  </si>
  <si>
    <t>AB-2505E</t>
  </si>
  <si>
    <t>MXQ12A-75ZHF</t>
  </si>
  <si>
    <t>3HR-4/3FAUC</t>
  </si>
  <si>
    <t>MXQ16L-50AS</t>
  </si>
  <si>
    <t>MXQ20-10A</t>
  </si>
  <si>
    <t>MXQ16-50AS</t>
  </si>
  <si>
    <t>MXQ8-10</t>
  </si>
  <si>
    <t>TB-02-C-SWR-CHI</t>
  </si>
  <si>
    <t>PDR-140</t>
  </si>
  <si>
    <t>PDR-280</t>
  </si>
  <si>
    <t>CY3B15-PS</t>
  </si>
  <si>
    <t>CY3R10-PS</t>
  </si>
  <si>
    <t>CXSWM10-PS</t>
  </si>
  <si>
    <t>CXSM15-PS</t>
  </si>
  <si>
    <t>CUW16D-PS</t>
  </si>
  <si>
    <t>CXSWL10APS</t>
  </si>
  <si>
    <t>CQ2B63-PS</t>
  </si>
  <si>
    <t>CY3R15-PS</t>
  </si>
  <si>
    <t>MXQ20-PS</t>
  </si>
  <si>
    <t>AS1201F-M5-02A</t>
  </si>
  <si>
    <t>RCP2-SA5R-I-42P-12-250-P1-P-ML</t>
  </si>
  <si>
    <t>CDQSWB20-5DC</t>
  </si>
  <si>
    <t>CDQSB16-75DC</t>
  </si>
  <si>
    <t>PDR-080</t>
  </si>
  <si>
    <t>MHL10-PS</t>
  </si>
  <si>
    <t>MGPL12-20Z-M9BW</t>
  </si>
  <si>
    <t>KQ2L04-M5N</t>
  </si>
  <si>
    <t>M-5E</t>
  </si>
  <si>
    <t>KQ2C-04GA</t>
  </si>
  <si>
    <t>VH2680109</t>
  </si>
  <si>
    <t>VH26A0102</t>
  </si>
  <si>
    <t>VH26A0104</t>
  </si>
  <si>
    <t>VH26A0107</t>
  </si>
  <si>
    <t>VH26A0108</t>
  </si>
  <si>
    <t>VH26A0109</t>
  </si>
  <si>
    <t>VH26A0110</t>
  </si>
  <si>
    <t>VH26A0100</t>
  </si>
  <si>
    <t>VH26A0101</t>
  </si>
  <si>
    <t>VH26W0230</t>
  </si>
  <si>
    <t>VH26W0534</t>
  </si>
  <si>
    <t>VH26T0114</t>
  </si>
  <si>
    <t>VH26T0250</t>
  </si>
  <si>
    <t>VH26T0370</t>
  </si>
  <si>
    <t xml:space="preserve">VH26W0103	</t>
  </si>
  <si>
    <t>VH26A0200</t>
  </si>
  <si>
    <t>VH26A0112</t>
  </si>
  <si>
    <t>VH26A0201</t>
  </si>
  <si>
    <t>VH26W0733</t>
  </si>
  <si>
    <t>VH26A0118</t>
  </si>
  <si>
    <t>VH26W0455</t>
  </si>
  <si>
    <t>VH26W0322</t>
  </si>
  <si>
    <t>VH26W0667</t>
  </si>
  <si>
    <t>VH26X0058</t>
  </si>
  <si>
    <t>VH26X0066</t>
  </si>
  <si>
    <t>VH26X0060</t>
  </si>
  <si>
    <t>VH26X0041</t>
  </si>
  <si>
    <t>VH26X0067</t>
  </si>
  <si>
    <t>VH26X0054</t>
  </si>
  <si>
    <t>VH26B0250</t>
  </si>
  <si>
    <t>VH26B0253</t>
  </si>
  <si>
    <t>VH26B0175</t>
  </si>
  <si>
    <t>VH26B0234</t>
  </si>
  <si>
    <t>VH26B0242</t>
  </si>
  <si>
    <t>VH26X0037</t>
  </si>
  <si>
    <t>VH26B0179</t>
  </si>
  <si>
    <t>VH26B0181</t>
  </si>
  <si>
    <t xml:space="preserve">VH26B0212	</t>
  </si>
  <si>
    <t>VH26B0213</t>
  </si>
  <si>
    <t>VH26B0177</t>
  </si>
  <si>
    <t>VH26A0197</t>
  </si>
  <si>
    <t>Đã nhập kho</t>
  </si>
  <si>
    <t>VH26T0660</t>
  </si>
  <si>
    <t>Đã Nhập Kho</t>
  </si>
  <si>
    <t>Chưa Nhập Kho</t>
  </si>
  <si>
    <t>Thời Gian</t>
  </si>
  <si>
    <t>12/2025</t>
  </si>
  <si>
    <t>VH26Y0389</t>
  </si>
  <si>
    <t>VH26Y0391</t>
  </si>
  <si>
    <t>VH26Y0339</t>
  </si>
  <si>
    <t>VH84Y0092</t>
  </si>
  <si>
    <t>VH25Y0032</t>
  </si>
  <si>
    <t>VH26C0059</t>
  </si>
  <si>
    <t xml:space="preserve">VH26B0179	</t>
  </si>
  <si>
    <t>VH26B0212</t>
  </si>
  <si>
    <t xml:space="preserve">VH26B0250	</t>
  </si>
  <si>
    <t>AS1311F-M5-04A</t>
  </si>
  <si>
    <t>11/2025</t>
  </si>
  <si>
    <t>VH26X0072</t>
  </si>
  <si>
    <t>VH26X0076</t>
  </si>
  <si>
    <t>VH26X0087</t>
  </si>
  <si>
    <t>VH26F0352</t>
  </si>
  <si>
    <t>VH26E0325</t>
  </si>
  <si>
    <t>VH26F0250</t>
  </si>
  <si>
    <t>VH26E0317</t>
  </si>
  <si>
    <t>02/2026</t>
  </si>
  <si>
    <t>VH26F0091</t>
  </si>
  <si>
    <t>VH84E0133</t>
  </si>
  <si>
    <t>VH8CF0004</t>
  </si>
  <si>
    <t>VH26E0313</t>
  </si>
  <si>
    <t>VH2620114</t>
  </si>
  <si>
    <t>VH26E0454</t>
  </si>
  <si>
    <t>VH2620129</t>
  </si>
  <si>
    <t>VH26E0328</t>
  </si>
  <si>
    <t>VH2620123</t>
  </si>
  <si>
    <t>VH26E0366</t>
  </si>
  <si>
    <t>VH2620122</t>
  </si>
  <si>
    <t>VH26E0512</t>
  </si>
  <si>
    <t>VH2620121</t>
  </si>
  <si>
    <t>VH2620130</t>
  </si>
  <si>
    <t>VH26G0346</t>
  </si>
  <si>
    <t>VH26G0374</t>
  </si>
  <si>
    <t>VH6CG0313</t>
  </si>
  <si>
    <t>VH26G0434</t>
  </si>
  <si>
    <t>VH2630087</t>
  </si>
  <si>
    <t>VH26G0273</t>
  </si>
  <si>
    <t>VH26G0332</t>
  </si>
  <si>
    <t>VH2630084</t>
  </si>
  <si>
    <t>VH2630083</t>
  </si>
  <si>
    <t>VH2630082</t>
  </si>
  <si>
    <t>VH26G0369</t>
  </si>
  <si>
    <t>VH26G0386</t>
  </si>
  <si>
    <t>VH2630085</t>
  </si>
  <si>
    <t>03/2026</t>
  </si>
  <si>
    <t>VH26H0124</t>
  </si>
  <si>
    <t>VH26K0086</t>
  </si>
  <si>
    <t>VH2650326</t>
  </si>
  <si>
    <t>VH2640142</t>
  </si>
  <si>
    <t>VH26K0314</t>
  </si>
  <si>
    <t>VH26H0383</t>
  </si>
  <si>
    <t>VH26H0197</t>
  </si>
  <si>
    <t>VH26K0349</t>
  </si>
  <si>
    <t xml:space="preserve">VH2650247	</t>
  </si>
  <si>
    <t>VH2650331</t>
  </si>
  <si>
    <t>VH2640450</t>
  </si>
  <si>
    <t>VH2650229</t>
  </si>
  <si>
    <t>VH2640334</t>
  </si>
  <si>
    <t>VH2650222</t>
  </si>
  <si>
    <t>VH2650235</t>
  </si>
  <si>
    <t xml:space="preserve">VH26K0328	</t>
  </si>
  <si>
    <t>06/2026</t>
  </si>
  <si>
    <t>VH2670218</t>
  </si>
  <si>
    <t xml:space="preserve">	VH2660397</t>
  </si>
  <si>
    <t>VH2660476</t>
  </si>
  <si>
    <t>VH26M0564</t>
  </si>
  <si>
    <t>VH84M0041</t>
  </si>
  <si>
    <t>VH8NM0024</t>
  </si>
  <si>
    <t>VH26M0203</t>
  </si>
  <si>
    <t>VH26M0529</t>
  </si>
  <si>
    <t>VH2660406</t>
  </si>
  <si>
    <t>VH2660439</t>
  </si>
  <si>
    <t>VH2670073</t>
  </si>
  <si>
    <t>VH2NK0005</t>
  </si>
  <si>
    <t>VH2670216</t>
  </si>
  <si>
    <t>07/2026</t>
  </si>
  <si>
    <t>VH2680286</t>
  </si>
  <si>
    <t>08/2026</t>
  </si>
  <si>
    <t>VH2690563</t>
  </si>
  <si>
    <t>VH26A0302</t>
  </si>
  <si>
    <t>VH26W0208</t>
  </si>
  <si>
    <t>VH26W0294</t>
  </si>
  <si>
    <t>VH8NT0013</t>
  </si>
  <si>
    <t>VH2680203</t>
  </si>
  <si>
    <t>VH2690421</t>
  </si>
  <si>
    <t>VH26A0017</t>
  </si>
  <si>
    <t>VH2N80024</t>
  </si>
  <si>
    <t xml:space="preserve">VH2680207	</t>
  </si>
  <si>
    <t>VH2690438</t>
  </si>
  <si>
    <t>VH2680207</t>
  </si>
  <si>
    <t>VH26R0087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</si>
</sst>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Palatino Linotype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0" fontId="5" fillId="0" borderId="0"/>
  </cellStyleXfs>
  <cellXfs count="92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 applyProtection="1">
      <alignment horizontal="center" vertical="center"/>
    </xf>
    <xf numFmtId="0" fontId="0" fillId="0" borderId="1" xfId="0" applyBorder="1"/>
    <xf numFmtId="0" fontId="14" fillId="0" borderId="1" xfId="0" applyFont="1" applyBorder="1" applyAlignment="1">
      <alignment vertical="center"/>
    </xf>
    <xf numFmtId="164" fontId="0" fillId="0" borderId="1" xfId="1" applyNumberFormat="1" applyFont="1" applyFill="1" applyBorder="1" applyAlignment="1" applyProtection="1">
      <alignment horizontal="center" vertical="center"/>
    </xf>
    <xf numFmtId="0" fontId="18" fillId="0" borderId="1" xfId="0" applyFont="1" applyBorder="1" applyAlignment="1">
      <alignment vertical="center"/>
    </xf>
    <xf numFmtId="164" fontId="15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/>
    <xf numFmtId="0" fontId="14" fillId="0" borderId="1" xfId="0" applyFont="1" applyBorder="1"/>
    <xf numFmtId="0" fontId="10" fillId="0" borderId="1" xfId="0" applyFont="1" applyBorder="1"/>
    <xf numFmtId="0" fontId="19" fillId="0" borderId="1" xfId="0" applyFont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4" fontId="0" fillId="2" borderId="1" xfId="1" applyNumberFormat="1" applyFont="1" applyFill="1" applyBorder="1" applyAlignment="1" applyProtection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3" fontId="0" fillId="2" borderId="1" xfId="0" applyNumberForma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/>
    <xf numFmtId="0" fontId="8" fillId="2" borderId="1" xfId="0" applyFont="1" applyFill="1" applyBorder="1"/>
    <xf numFmtId="0" fontId="14" fillId="2" borderId="1" xfId="0" applyFont="1" applyFill="1" applyBorder="1"/>
    <xf numFmtId="0" fontId="7" fillId="2" borderId="1" xfId="0" applyFont="1" applyFill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0" fillId="3" borderId="1" xfId="0" applyFill="1" applyBorder="1"/>
    <xf numFmtId="3" fontId="0" fillId="3" borderId="1" xfId="0" applyNumberFormat="1" applyFill="1" applyBorder="1" applyAlignment="1">
      <alignment horizontal="right" vertical="center"/>
    </xf>
    <xf numFmtId="0" fontId="9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 applyAlignment="1" applyProtection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/>
    </xf>
    <xf numFmtId="0" fontId="8" fillId="3" borderId="1" xfId="0" applyFont="1" applyFill="1" applyBorder="1"/>
    <xf numFmtId="0" fontId="14" fillId="3" borderId="1" xfId="0" applyFont="1" applyFill="1" applyBorder="1"/>
    <xf numFmtId="0" fontId="20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3" borderId="1" xfId="0" applyFont="1" applyFill="1" applyBorder="1"/>
    <xf numFmtId="0" fontId="5" fillId="0" borderId="1" xfId="0" applyFont="1" applyBorder="1"/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/>
    <xf numFmtId="3" fontId="21" fillId="0" borderId="1" xfId="0" applyNumberFormat="1" applyFont="1" applyBorder="1" applyAlignment="1">
      <alignment horizontal="right"/>
    </xf>
    <xf numFmtId="164" fontId="21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164" fontId="0" fillId="0" borderId="0" xfId="1" applyNumberFormat="1" applyFont="1"/>
    <xf numFmtId="3" fontId="24" fillId="0" borderId="1" xfId="0" applyNumberFormat="1" applyFont="1" applyBorder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164" fontId="0" fillId="0" borderId="2" xfId="1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0" fillId="0" borderId="1" xfId="1" applyNumberFormat="1" applyFont="1" applyBorder="1"/>
    <xf numFmtId="3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0" fillId="0" borderId="3" xfId="0" applyFill="1" applyBorder="1"/>
  </cellXfs>
  <cellStyles count="3">
    <cellStyle name="Comma" xfId="1" builtinId="3"/>
    <cellStyle name="Normal" xfId="0" builtinId="0"/>
    <cellStyle name="Normal 2" xfId="2" xr:uid="{A6225BDA-EC85-498D-9A03-C5DE9E6A9C1B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P197"/>
  <sheetViews>
    <sheetView tabSelected="1" zoomScale="85" zoomScaleNormal="85" workbookViewId="0">
      <selection activeCell="M14" sqref="M14"/>
    </sheetView>
  </sheetViews>
  <sheetFormatPr defaultColWidth="9" defaultRowHeight="14.5"/>
  <cols>
    <col min="3" max="3" width="7.1796875" customWidth="1"/>
    <col min="4" max="4" width="9.54296875" customWidth="1"/>
    <col min="5" max="5" width="17.6328125" bestFit="1" customWidth="1"/>
    <col min="6" max="6" width="10.81640625" style="35" bestFit="1" customWidth="1"/>
    <col min="7" max="7" width="12.6328125" bestFit="1" customWidth="1"/>
    <col min="8" max="8" width="8.6328125" style="2" customWidth="1"/>
    <col min="9" max="9" width="12.90625" style="15" bestFit="1" customWidth="1"/>
    <col min="10" max="10" width="13.81640625" style="61" bestFit="1" customWidth="1"/>
    <col min="11" max="11" width="8.81640625" style="2" customWidth="1"/>
    <col min="12" max="12" width="11.81640625" style="15" bestFit="1" customWidth="1"/>
    <col min="13" max="13" width="16.54296875" customWidth="1"/>
    <col min="14" max="14" width="18.26953125" customWidth="1"/>
    <col min="16" max="16" width="13.08984375" customWidth="1"/>
  </cols>
  <sheetData>
    <row r="2" spans="3:16" ht="31" customHeight="1">
      <c r="C2" s="3" t="s">
        <v>0</v>
      </c>
      <c r="D2" s="3" t="s">
        <v>136</v>
      </c>
      <c r="E2" s="4" t="s">
        <v>1</v>
      </c>
      <c r="F2" s="30" t="s">
        <v>2</v>
      </c>
      <c r="G2" s="4" t="s">
        <v>3</v>
      </c>
      <c r="H2" s="3" t="s">
        <v>4</v>
      </c>
      <c r="I2" s="13" t="s">
        <v>5</v>
      </c>
      <c r="J2" s="52" t="s">
        <v>6</v>
      </c>
      <c r="K2" s="3"/>
      <c r="L2" s="13"/>
      <c r="M2" s="3" t="s">
        <v>7</v>
      </c>
      <c r="N2" s="3" t="s">
        <v>8</v>
      </c>
    </row>
    <row r="3" spans="3:16">
      <c r="C3" s="5">
        <f>ROW()-2</f>
        <v>1</v>
      </c>
      <c r="D3" s="5"/>
      <c r="E3" s="6" t="s">
        <v>9</v>
      </c>
      <c r="F3" s="31">
        <v>3435000</v>
      </c>
      <c r="G3" s="6" t="s">
        <v>10</v>
      </c>
      <c r="H3" s="7">
        <v>36</v>
      </c>
      <c r="I3" s="8">
        <f>H3*F3</f>
        <v>123660000</v>
      </c>
      <c r="J3" s="53" t="s">
        <v>132</v>
      </c>
      <c r="K3" s="7">
        <v>8</v>
      </c>
      <c r="L3" s="14">
        <f t="shared" ref="L3:L6" si="0">K3*I3%</f>
        <v>9892800</v>
      </c>
      <c r="M3" s="7"/>
      <c r="N3" s="5"/>
      <c r="P3" s="75">
        <f>SUM(L:L)</f>
        <v>231077360</v>
      </c>
    </row>
    <row r="4" spans="3:16">
      <c r="C4" s="5">
        <f t="shared" ref="C4:C53" si="1">ROW()-2</f>
        <v>2</v>
      </c>
      <c r="D4" s="5"/>
      <c r="E4" s="6" t="s">
        <v>9</v>
      </c>
      <c r="F4" s="31">
        <v>3435000</v>
      </c>
      <c r="G4" s="9" t="s">
        <v>11</v>
      </c>
      <c r="H4" s="7">
        <v>36</v>
      </c>
      <c r="I4" s="8">
        <f>H4*F4</f>
        <v>123660000</v>
      </c>
      <c r="J4" s="53" t="s">
        <v>132</v>
      </c>
      <c r="K4" s="7">
        <v>8</v>
      </c>
      <c r="L4" s="14">
        <f t="shared" si="0"/>
        <v>9892800</v>
      </c>
      <c r="M4" s="7"/>
      <c r="N4" s="5"/>
    </row>
    <row r="5" spans="3:16">
      <c r="C5" s="5">
        <f t="shared" si="1"/>
        <v>3</v>
      </c>
      <c r="D5" s="5"/>
      <c r="E5" s="10" t="s">
        <v>12</v>
      </c>
      <c r="F5" s="32">
        <v>108000</v>
      </c>
      <c r="G5" s="9" t="s">
        <v>13</v>
      </c>
      <c r="H5" s="7">
        <v>36</v>
      </c>
      <c r="I5" s="8">
        <f>H5*F5</f>
        <v>3888000</v>
      </c>
      <c r="J5" s="1" t="s">
        <v>132</v>
      </c>
      <c r="K5" s="7">
        <v>8</v>
      </c>
      <c r="L5" s="14">
        <f t="shared" si="0"/>
        <v>311040</v>
      </c>
      <c r="M5" s="7"/>
      <c r="N5" s="5"/>
    </row>
    <row r="6" spans="3:16">
      <c r="C6" s="5">
        <f t="shared" si="1"/>
        <v>4</v>
      </c>
      <c r="D6" s="5"/>
      <c r="E6" s="10" t="s">
        <v>12</v>
      </c>
      <c r="F6" s="32">
        <v>108000</v>
      </c>
      <c r="G6" s="9" t="s">
        <v>14</v>
      </c>
      <c r="H6" s="7">
        <v>36</v>
      </c>
      <c r="I6" s="8">
        <f>H6*F6</f>
        <v>3888000</v>
      </c>
      <c r="J6" s="1" t="s">
        <v>132</v>
      </c>
      <c r="K6" s="7">
        <v>8</v>
      </c>
      <c r="L6" s="14">
        <f t="shared" si="0"/>
        <v>311040</v>
      </c>
      <c r="M6" s="7"/>
      <c r="N6" s="5"/>
    </row>
    <row r="7" spans="3:16">
      <c r="C7" s="5">
        <f t="shared" si="1"/>
        <v>5</v>
      </c>
      <c r="D7" s="5"/>
      <c r="E7" s="1" t="s">
        <v>15</v>
      </c>
      <c r="F7" s="32">
        <v>189000</v>
      </c>
      <c r="G7" s="9" t="s">
        <v>16</v>
      </c>
      <c r="H7" s="7">
        <v>30</v>
      </c>
      <c r="I7" s="8">
        <f t="shared" ref="I7:I18" si="2">H7*F7</f>
        <v>5670000</v>
      </c>
      <c r="J7" s="1" t="s">
        <v>132</v>
      </c>
      <c r="K7" s="7">
        <v>8</v>
      </c>
      <c r="L7" s="14">
        <f t="shared" ref="L7:L18" si="3">K7*I7%</f>
        <v>453600</v>
      </c>
      <c r="M7" s="7"/>
      <c r="N7" s="5"/>
    </row>
    <row r="8" spans="3:16">
      <c r="C8" s="5">
        <f t="shared" si="1"/>
        <v>6</v>
      </c>
      <c r="D8" s="5"/>
      <c r="E8" s="1" t="s">
        <v>15</v>
      </c>
      <c r="F8" s="32">
        <v>189000</v>
      </c>
      <c r="G8" s="9" t="s">
        <v>17</v>
      </c>
      <c r="H8" s="7">
        <v>30</v>
      </c>
      <c r="I8" s="8">
        <f t="shared" si="2"/>
        <v>5670000</v>
      </c>
      <c r="J8" s="1" t="s">
        <v>132</v>
      </c>
      <c r="K8" s="7">
        <v>8</v>
      </c>
      <c r="L8" s="14">
        <f t="shared" si="3"/>
        <v>453600</v>
      </c>
      <c r="M8" s="7"/>
      <c r="N8" s="5"/>
    </row>
    <row r="9" spans="3:16">
      <c r="C9" s="5">
        <f t="shared" si="1"/>
        <v>7</v>
      </c>
      <c r="D9" s="5"/>
      <c r="E9" s="1" t="s">
        <v>18</v>
      </c>
      <c r="F9" s="32">
        <v>119000</v>
      </c>
      <c r="G9" s="9" t="s">
        <v>19</v>
      </c>
      <c r="H9" s="7">
        <v>30</v>
      </c>
      <c r="I9" s="8">
        <f t="shared" si="2"/>
        <v>3570000</v>
      </c>
      <c r="J9" s="1" t="s">
        <v>132</v>
      </c>
      <c r="K9" s="7">
        <v>8</v>
      </c>
      <c r="L9" s="14">
        <f t="shared" si="3"/>
        <v>285600</v>
      </c>
      <c r="M9" s="7"/>
      <c r="N9" s="5"/>
    </row>
    <row r="10" spans="3:16">
      <c r="C10" s="5">
        <f t="shared" si="1"/>
        <v>8</v>
      </c>
      <c r="D10" s="5"/>
      <c r="E10" s="1" t="s">
        <v>18</v>
      </c>
      <c r="F10" s="32">
        <v>119000</v>
      </c>
      <c r="G10" s="9" t="s">
        <v>20</v>
      </c>
      <c r="H10" s="7">
        <v>30</v>
      </c>
      <c r="I10" s="8">
        <f t="shared" si="2"/>
        <v>3570000</v>
      </c>
      <c r="J10" s="1" t="s">
        <v>132</v>
      </c>
      <c r="K10" s="7">
        <v>8</v>
      </c>
      <c r="L10" s="14">
        <f t="shared" si="3"/>
        <v>285600</v>
      </c>
      <c r="M10" s="7"/>
      <c r="N10" s="5"/>
    </row>
    <row r="11" spans="3:16">
      <c r="C11" s="5">
        <f t="shared" si="1"/>
        <v>9</v>
      </c>
      <c r="D11" s="5"/>
      <c r="E11" s="1" t="s">
        <v>18</v>
      </c>
      <c r="F11" s="32">
        <v>119000</v>
      </c>
      <c r="G11" s="9" t="s">
        <v>133</v>
      </c>
      <c r="H11" s="7">
        <v>50</v>
      </c>
      <c r="I11" s="8">
        <f t="shared" ref="I11" si="4">H11*F11</f>
        <v>5950000</v>
      </c>
      <c r="J11" s="1" t="s">
        <v>132</v>
      </c>
      <c r="K11" s="7">
        <v>8</v>
      </c>
      <c r="L11" s="14">
        <f t="shared" ref="L11" si="5">K11*I11%</f>
        <v>476000</v>
      </c>
      <c r="M11" s="7"/>
      <c r="N11" s="5"/>
    </row>
    <row r="12" spans="3:16">
      <c r="C12" s="5">
        <f t="shared" si="1"/>
        <v>10</v>
      </c>
      <c r="D12" s="5"/>
      <c r="E12" s="10" t="s">
        <v>21</v>
      </c>
      <c r="F12" s="32">
        <v>66000</v>
      </c>
      <c r="G12" s="9" t="s">
        <v>22</v>
      </c>
      <c r="H12" s="7">
        <v>80</v>
      </c>
      <c r="I12" s="8">
        <f t="shared" si="2"/>
        <v>5280000</v>
      </c>
      <c r="J12" s="53" t="s">
        <v>132</v>
      </c>
      <c r="K12" s="7">
        <v>8</v>
      </c>
      <c r="L12" s="14">
        <f t="shared" si="3"/>
        <v>422400</v>
      </c>
      <c r="M12" s="7"/>
      <c r="N12" s="5"/>
    </row>
    <row r="13" spans="3:16">
      <c r="C13" s="5">
        <f t="shared" si="1"/>
        <v>11</v>
      </c>
      <c r="D13" s="5"/>
      <c r="E13" s="10" t="s">
        <v>21</v>
      </c>
      <c r="F13" s="32">
        <v>66000</v>
      </c>
      <c r="G13" s="9" t="s">
        <v>23</v>
      </c>
      <c r="H13" s="7">
        <v>50</v>
      </c>
      <c r="I13" s="8">
        <f t="shared" si="2"/>
        <v>3300000</v>
      </c>
      <c r="J13" s="53" t="s">
        <v>132</v>
      </c>
      <c r="K13" s="7">
        <v>8</v>
      </c>
      <c r="L13" s="14">
        <f t="shared" si="3"/>
        <v>264000</v>
      </c>
      <c r="M13" s="7"/>
      <c r="N13" s="5"/>
    </row>
    <row r="14" spans="3:16">
      <c r="C14" s="5">
        <f t="shared" si="1"/>
        <v>12</v>
      </c>
      <c r="D14" s="5"/>
      <c r="E14" s="10" t="s">
        <v>24</v>
      </c>
      <c r="F14" s="32">
        <v>71000</v>
      </c>
      <c r="G14" s="9" t="s">
        <v>25</v>
      </c>
      <c r="H14" s="7">
        <v>20</v>
      </c>
      <c r="I14" s="8">
        <f t="shared" si="2"/>
        <v>1420000</v>
      </c>
      <c r="J14" s="53" t="s">
        <v>132</v>
      </c>
      <c r="K14" s="7">
        <v>8</v>
      </c>
      <c r="L14" s="14">
        <f t="shared" si="3"/>
        <v>113600</v>
      </c>
      <c r="M14" s="7"/>
      <c r="N14" s="5"/>
    </row>
    <row r="15" spans="3:16">
      <c r="C15" s="5">
        <f t="shared" si="1"/>
        <v>13</v>
      </c>
      <c r="D15" s="5"/>
      <c r="E15" s="10" t="s">
        <v>24</v>
      </c>
      <c r="F15" s="32">
        <v>71000</v>
      </c>
      <c r="G15" s="9" t="s">
        <v>26</v>
      </c>
      <c r="H15" s="7">
        <v>20</v>
      </c>
      <c r="I15" s="8">
        <f t="shared" si="2"/>
        <v>1420000</v>
      </c>
      <c r="J15" s="53" t="s">
        <v>132</v>
      </c>
      <c r="K15" s="7">
        <v>8</v>
      </c>
      <c r="L15" s="14">
        <f t="shared" si="3"/>
        <v>113600</v>
      </c>
      <c r="M15" s="7"/>
      <c r="N15" s="5"/>
    </row>
    <row r="16" spans="3:16">
      <c r="C16" s="5">
        <f t="shared" si="1"/>
        <v>14</v>
      </c>
      <c r="D16" s="5"/>
      <c r="E16" s="1" t="s">
        <v>27</v>
      </c>
      <c r="F16" s="32">
        <v>978000</v>
      </c>
      <c r="G16" s="9" t="s">
        <v>28</v>
      </c>
      <c r="H16" s="7">
        <v>3</v>
      </c>
      <c r="I16" s="8">
        <f t="shared" si="2"/>
        <v>2934000</v>
      </c>
      <c r="J16" s="53" t="s">
        <v>132</v>
      </c>
      <c r="K16" s="7">
        <v>5</v>
      </c>
      <c r="L16" s="14">
        <f t="shared" si="3"/>
        <v>146700</v>
      </c>
      <c r="M16" s="7"/>
      <c r="N16" s="5"/>
    </row>
    <row r="17" spans="3:14">
      <c r="C17" s="5">
        <f t="shared" si="1"/>
        <v>15</v>
      </c>
      <c r="D17" s="5"/>
      <c r="E17" s="1" t="s">
        <v>29</v>
      </c>
      <c r="F17" s="32">
        <v>57000</v>
      </c>
      <c r="G17" s="9" t="s">
        <v>30</v>
      </c>
      <c r="H17" s="7">
        <v>30</v>
      </c>
      <c r="I17" s="8">
        <f t="shared" si="2"/>
        <v>1710000</v>
      </c>
      <c r="J17" s="53" t="s">
        <v>132</v>
      </c>
      <c r="K17" s="7">
        <v>8</v>
      </c>
      <c r="L17" s="14">
        <f t="shared" si="3"/>
        <v>136800</v>
      </c>
      <c r="M17" s="7"/>
      <c r="N17" s="5"/>
    </row>
    <row r="18" spans="3:14">
      <c r="C18" s="5">
        <f t="shared" si="1"/>
        <v>16</v>
      </c>
      <c r="D18" s="5"/>
      <c r="E18" s="1" t="s">
        <v>29</v>
      </c>
      <c r="F18" s="32">
        <v>57000</v>
      </c>
      <c r="G18" s="9" t="s">
        <v>31</v>
      </c>
      <c r="H18" s="7">
        <v>50</v>
      </c>
      <c r="I18" s="8">
        <f t="shared" si="2"/>
        <v>2850000</v>
      </c>
      <c r="J18" s="53" t="s">
        <v>132</v>
      </c>
      <c r="K18" s="7">
        <v>8</v>
      </c>
      <c r="L18" s="14">
        <f t="shared" si="3"/>
        <v>228000</v>
      </c>
      <c r="M18" s="7"/>
      <c r="N18" s="5"/>
    </row>
    <row r="19" spans="3:14">
      <c r="C19" s="5">
        <f t="shared" si="1"/>
        <v>17</v>
      </c>
      <c r="D19" s="5"/>
      <c r="E19" s="6" t="s">
        <v>9</v>
      </c>
      <c r="F19" s="31">
        <v>3435000</v>
      </c>
      <c r="G19" s="9" t="s">
        <v>32</v>
      </c>
      <c r="H19" s="7">
        <v>38</v>
      </c>
      <c r="I19" s="8">
        <f t="shared" ref="I19" si="6">H19*F19</f>
        <v>130530000</v>
      </c>
      <c r="J19" s="53" t="s">
        <v>132</v>
      </c>
      <c r="K19" s="7">
        <v>8</v>
      </c>
      <c r="L19" s="14">
        <f t="shared" ref="L19" si="7">K19*I19%</f>
        <v>10442400</v>
      </c>
      <c r="M19" s="7"/>
      <c r="N19" s="5"/>
    </row>
    <row r="20" spans="3:14">
      <c r="C20" s="5">
        <f t="shared" si="1"/>
        <v>18</v>
      </c>
      <c r="D20" s="5"/>
      <c r="E20" s="10" t="s">
        <v>12</v>
      </c>
      <c r="F20" s="32">
        <v>108000</v>
      </c>
      <c r="G20" s="9" t="s">
        <v>33</v>
      </c>
      <c r="H20" s="7">
        <v>58</v>
      </c>
      <c r="I20" s="8">
        <f t="shared" ref="I20:I32" si="8">H20*F20</f>
        <v>6264000</v>
      </c>
      <c r="J20" s="1" t="s">
        <v>132</v>
      </c>
      <c r="K20" s="7">
        <v>8</v>
      </c>
      <c r="L20" s="14">
        <f t="shared" ref="L20" si="9">K20*I20%</f>
        <v>501120</v>
      </c>
      <c r="M20" s="7"/>
      <c r="N20" s="9"/>
    </row>
    <row r="21" spans="3:14">
      <c r="C21" s="5">
        <f t="shared" si="1"/>
        <v>19</v>
      </c>
      <c r="D21" s="5"/>
      <c r="E21" s="1" t="s">
        <v>34</v>
      </c>
      <c r="F21" s="32">
        <v>3105000</v>
      </c>
      <c r="G21" s="9" t="s">
        <v>35</v>
      </c>
      <c r="H21" s="7">
        <v>5</v>
      </c>
      <c r="I21" s="11">
        <f t="shared" si="8"/>
        <v>15525000</v>
      </c>
      <c r="J21" s="54" t="s">
        <v>134</v>
      </c>
      <c r="K21" s="7">
        <v>3</v>
      </c>
      <c r="L21" s="14">
        <f>K21*I21%</f>
        <v>465750</v>
      </c>
      <c r="M21" s="7"/>
      <c r="N21" s="9"/>
    </row>
    <row r="22" spans="3:14">
      <c r="C22" s="5">
        <f t="shared" si="1"/>
        <v>20</v>
      </c>
      <c r="D22" s="5"/>
      <c r="E22" s="1" t="s">
        <v>34</v>
      </c>
      <c r="F22" s="32">
        <v>3105000</v>
      </c>
      <c r="G22" s="9" t="s">
        <v>38</v>
      </c>
      <c r="H22" s="7">
        <v>10</v>
      </c>
      <c r="I22" s="11">
        <f t="shared" si="8"/>
        <v>31050000</v>
      </c>
      <c r="J22" s="54" t="s">
        <v>134</v>
      </c>
      <c r="K22" s="16">
        <v>3</v>
      </c>
      <c r="L22" s="14">
        <f>K22*I22%</f>
        <v>931500</v>
      </c>
      <c r="M22" s="7"/>
      <c r="N22" s="9"/>
    </row>
    <row r="23" spans="3:14">
      <c r="C23" s="5">
        <f t="shared" si="1"/>
        <v>21</v>
      </c>
      <c r="D23" s="5"/>
      <c r="E23" s="1" t="s">
        <v>34</v>
      </c>
      <c r="F23" s="32">
        <v>3105000</v>
      </c>
      <c r="G23" s="9" t="s">
        <v>39</v>
      </c>
      <c r="H23" s="7">
        <v>5</v>
      </c>
      <c r="I23" s="11">
        <f t="shared" ref="I23" si="10">H23*F23</f>
        <v>15525000</v>
      </c>
      <c r="J23" s="54" t="s">
        <v>134</v>
      </c>
      <c r="K23" s="16">
        <v>3</v>
      </c>
      <c r="L23" s="14">
        <f>K23*I23%</f>
        <v>465750</v>
      </c>
      <c r="M23" s="7"/>
      <c r="N23" s="9"/>
    </row>
    <row r="24" spans="3:14">
      <c r="C24" s="5">
        <f t="shared" si="1"/>
        <v>22</v>
      </c>
      <c r="D24" s="5"/>
      <c r="E24" s="12" t="s">
        <v>15</v>
      </c>
      <c r="F24" s="32">
        <v>189000</v>
      </c>
      <c r="G24" s="18" t="s">
        <v>40</v>
      </c>
      <c r="H24" s="7">
        <v>30</v>
      </c>
      <c r="I24" s="11">
        <f t="shared" si="8"/>
        <v>5670000</v>
      </c>
      <c r="J24" s="1" t="s">
        <v>132</v>
      </c>
      <c r="K24" s="7">
        <v>8</v>
      </c>
      <c r="L24" s="14">
        <f>K24*I24%</f>
        <v>453600</v>
      </c>
      <c r="M24" s="7"/>
      <c r="N24" s="9"/>
    </row>
    <row r="25" spans="3:14">
      <c r="C25" s="5">
        <f t="shared" si="1"/>
        <v>23</v>
      </c>
      <c r="D25" s="5"/>
      <c r="E25" s="10" t="s">
        <v>18</v>
      </c>
      <c r="F25" s="32">
        <v>119000</v>
      </c>
      <c r="G25" s="18" t="s">
        <v>41</v>
      </c>
      <c r="H25" s="7">
        <v>30</v>
      </c>
      <c r="I25" s="11">
        <f t="shared" si="8"/>
        <v>3570000</v>
      </c>
      <c r="J25" s="1" t="s">
        <v>132</v>
      </c>
      <c r="K25" s="7">
        <v>8</v>
      </c>
      <c r="L25" s="14">
        <f t="shared" ref="L25:L29" si="11">K25*I25%</f>
        <v>285600</v>
      </c>
      <c r="M25" s="7"/>
      <c r="N25" s="9"/>
    </row>
    <row r="26" spans="3:14">
      <c r="C26" s="5">
        <f t="shared" si="1"/>
        <v>24</v>
      </c>
      <c r="D26" s="5"/>
      <c r="E26" s="10" t="s">
        <v>21</v>
      </c>
      <c r="F26" s="32">
        <v>66000</v>
      </c>
      <c r="G26" s="18" t="s">
        <v>42</v>
      </c>
      <c r="H26" s="7">
        <v>50</v>
      </c>
      <c r="I26" s="11">
        <f t="shared" si="8"/>
        <v>3300000</v>
      </c>
      <c r="J26" s="53" t="s">
        <v>132</v>
      </c>
      <c r="K26" s="7">
        <v>8</v>
      </c>
      <c r="L26" s="14">
        <f t="shared" si="11"/>
        <v>264000</v>
      </c>
      <c r="M26" s="7"/>
      <c r="N26" s="9"/>
    </row>
    <row r="27" spans="3:14">
      <c r="C27" s="5">
        <f t="shared" si="1"/>
        <v>25</v>
      </c>
      <c r="D27" s="5"/>
      <c r="E27" s="19" t="s">
        <v>24</v>
      </c>
      <c r="F27" s="32">
        <v>71000</v>
      </c>
      <c r="G27" s="18" t="s">
        <v>43</v>
      </c>
      <c r="H27" s="7">
        <v>30</v>
      </c>
      <c r="I27" s="11">
        <f t="shared" si="8"/>
        <v>2130000</v>
      </c>
      <c r="J27" s="53" t="s">
        <v>132</v>
      </c>
      <c r="K27" s="7">
        <v>8</v>
      </c>
      <c r="L27" s="14">
        <f t="shared" si="11"/>
        <v>170400</v>
      </c>
      <c r="M27" s="7"/>
      <c r="N27" s="9"/>
    </row>
    <row r="28" spans="3:14">
      <c r="C28" s="5">
        <f t="shared" si="1"/>
        <v>26</v>
      </c>
      <c r="D28" s="5"/>
      <c r="E28" s="18" t="s">
        <v>29</v>
      </c>
      <c r="F28" s="32">
        <v>57000</v>
      </c>
      <c r="G28" s="18" t="s">
        <v>44</v>
      </c>
      <c r="H28" s="7">
        <v>20</v>
      </c>
      <c r="I28" s="11">
        <f t="shared" si="8"/>
        <v>1140000</v>
      </c>
      <c r="J28" s="53" t="s">
        <v>132</v>
      </c>
      <c r="K28" s="7">
        <v>8</v>
      </c>
      <c r="L28" s="14">
        <f t="shared" si="11"/>
        <v>91200</v>
      </c>
      <c r="M28" s="7"/>
      <c r="N28" s="9"/>
    </row>
    <row r="29" spans="3:14">
      <c r="C29" s="5">
        <f t="shared" si="1"/>
        <v>27</v>
      </c>
      <c r="D29" s="5"/>
      <c r="E29" s="20" t="s">
        <v>9</v>
      </c>
      <c r="F29" s="31">
        <v>3435000</v>
      </c>
      <c r="G29" s="18" t="s">
        <v>45</v>
      </c>
      <c r="H29" s="7">
        <v>6</v>
      </c>
      <c r="I29" s="11">
        <f t="shared" si="8"/>
        <v>20610000</v>
      </c>
      <c r="J29" s="53" t="s">
        <v>132</v>
      </c>
      <c r="K29" s="7">
        <v>8</v>
      </c>
      <c r="L29" s="14">
        <f t="shared" si="11"/>
        <v>1648800</v>
      </c>
      <c r="M29" s="7"/>
      <c r="N29" s="9"/>
    </row>
    <row r="30" spans="3:14">
      <c r="C30" s="5">
        <f t="shared" si="1"/>
        <v>28</v>
      </c>
      <c r="D30" s="5"/>
      <c r="E30" s="6" t="s">
        <v>9</v>
      </c>
      <c r="F30" s="31">
        <v>3435000</v>
      </c>
      <c r="G30" s="17" t="s">
        <v>37</v>
      </c>
      <c r="H30" s="7">
        <v>36</v>
      </c>
      <c r="I30" s="11">
        <f t="shared" si="8"/>
        <v>123660000</v>
      </c>
      <c r="J30" s="53" t="s">
        <v>132</v>
      </c>
      <c r="K30" s="7">
        <v>8</v>
      </c>
      <c r="L30" s="14">
        <f t="shared" ref="L30" si="12">K30*I30%</f>
        <v>9892800</v>
      </c>
      <c r="M30" s="7"/>
      <c r="N30" s="9"/>
    </row>
    <row r="31" spans="3:14">
      <c r="C31" s="5">
        <f t="shared" si="1"/>
        <v>29</v>
      </c>
      <c r="D31" s="5"/>
      <c r="E31" s="6" t="s">
        <v>9</v>
      </c>
      <c r="F31" s="31">
        <v>3435000</v>
      </c>
      <c r="G31" s="23" t="s">
        <v>46</v>
      </c>
      <c r="H31" s="7">
        <v>36</v>
      </c>
      <c r="I31" s="11">
        <f t="shared" si="8"/>
        <v>123660000</v>
      </c>
      <c r="J31" s="53" t="s">
        <v>132</v>
      </c>
      <c r="K31" s="7">
        <v>8</v>
      </c>
      <c r="L31" s="14">
        <f t="shared" ref="L31:L32" si="13">K31*I31%</f>
        <v>9892800</v>
      </c>
      <c r="M31" s="7"/>
      <c r="N31" s="9"/>
    </row>
    <row r="32" spans="3:14">
      <c r="C32" s="5">
        <f t="shared" si="1"/>
        <v>30</v>
      </c>
      <c r="D32" s="5"/>
      <c r="E32" s="6" t="s">
        <v>9</v>
      </c>
      <c r="F32" s="31">
        <v>3435000</v>
      </c>
      <c r="G32" s="23" t="s">
        <v>47</v>
      </c>
      <c r="H32" s="7">
        <v>1</v>
      </c>
      <c r="I32" s="11">
        <f t="shared" si="8"/>
        <v>3435000</v>
      </c>
      <c r="J32" s="53" t="s">
        <v>132</v>
      </c>
      <c r="K32" s="7">
        <v>8</v>
      </c>
      <c r="L32" s="14">
        <f t="shared" si="13"/>
        <v>274800</v>
      </c>
      <c r="M32" s="7"/>
      <c r="N32" s="9"/>
    </row>
    <row r="33" spans="3:14">
      <c r="C33" s="5">
        <f t="shared" si="1"/>
        <v>31</v>
      </c>
      <c r="D33" s="5"/>
      <c r="E33" s="18" t="s">
        <v>29</v>
      </c>
      <c r="F33" s="32">
        <v>57000</v>
      </c>
      <c r="G33" s="23" t="s">
        <v>48</v>
      </c>
      <c r="H33" s="7">
        <v>50</v>
      </c>
      <c r="I33" s="11">
        <f t="shared" ref="I33" si="14">H33*F33</f>
        <v>2850000</v>
      </c>
      <c r="J33" s="53" t="s">
        <v>132</v>
      </c>
      <c r="K33" s="7">
        <v>8</v>
      </c>
      <c r="L33" s="14">
        <f t="shared" ref="L33" si="15">K33*I33%</f>
        <v>228000</v>
      </c>
      <c r="M33" s="7"/>
      <c r="N33" s="9"/>
    </row>
    <row r="34" spans="3:14">
      <c r="C34" s="5">
        <f t="shared" si="1"/>
        <v>32</v>
      </c>
      <c r="D34" s="5"/>
      <c r="E34" s="10" t="s">
        <v>24</v>
      </c>
      <c r="F34" s="32">
        <v>71000</v>
      </c>
      <c r="G34" s="23" t="s">
        <v>49</v>
      </c>
      <c r="H34" s="7">
        <v>50</v>
      </c>
      <c r="I34" s="11">
        <f t="shared" ref="I34:I38" si="16">H34*F34</f>
        <v>3550000</v>
      </c>
      <c r="J34" s="53" t="s">
        <v>132</v>
      </c>
      <c r="K34" s="7">
        <v>8</v>
      </c>
      <c r="L34" s="14">
        <f t="shared" ref="L34:L35" si="17">K34*I34%</f>
        <v>284000</v>
      </c>
      <c r="M34" s="7"/>
      <c r="N34" s="9"/>
    </row>
    <row r="35" spans="3:14">
      <c r="C35" s="5">
        <f t="shared" si="1"/>
        <v>33</v>
      </c>
      <c r="D35" s="5"/>
      <c r="E35" s="10" t="s">
        <v>21</v>
      </c>
      <c r="F35" s="32">
        <v>66000</v>
      </c>
      <c r="G35" s="23" t="s">
        <v>50</v>
      </c>
      <c r="H35" s="7">
        <v>50</v>
      </c>
      <c r="I35" s="11">
        <f t="shared" si="16"/>
        <v>3300000</v>
      </c>
      <c r="J35" s="53" t="s">
        <v>132</v>
      </c>
      <c r="K35" s="7">
        <v>8</v>
      </c>
      <c r="L35" s="14">
        <f t="shared" si="17"/>
        <v>264000</v>
      </c>
      <c r="M35" s="7"/>
      <c r="N35" s="9"/>
    </row>
    <row r="36" spans="3:14">
      <c r="C36" s="5">
        <f t="shared" si="1"/>
        <v>34</v>
      </c>
      <c r="D36" s="5"/>
      <c r="E36" s="10" t="s">
        <v>15</v>
      </c>
      <c r="F36" s="32">
        <v>189000</v>
      </c>
      <c r="G36" s="23" t="s">
        <v>51</v>
      </c>
      <c r="H36" s="7">
        <v>50</v>
      </c>
      <c r="I36" s="11">
        <f t="shared" si="16"/>
        <v>9450000</v>
      </c>
      <c r="J36" s="1" t="s">
        <v>132</v>
      </c>
      <c r="K36" s="7">
        <v>8</v>
      </c>
      <c r="L36" s="14">
        <f t="shared" ref="L36:L37" si="18">K36*I36%</f>
        <v>756000</v>
      </c>
      <c r="M36" s="7"/>
      <c r="N36" s="9"/>
    </row>
    <row r="37" spans="3:14">
      <c r="C37" s="5">
        <f t="shared" si="1"/>
        <v>35</v>
      </c>
      <c r="D37" s="5"/>
      <c r="E37" s="24" t="s">
        <v>34</v>
      </c>
      <c r="F37" s="32">
        <v>3105000</v>
      </c>
      <c r="G37" s="23" t="s">
        <v>52</v>
      </c>
      <c r="H37" s="7">
        <v>5</v>
      </c>
      <c r="I37" s="11">
        <f t="shared" si="16"/>
        <v>15525000</v>
      </c>
      <c r="J37" s="54" t="s">
        <v>134</v>
      </c>
      <c r="K37" s="7">
        <v>3</v>
      </c>
      <c r="L37" s="14">
        <f t="shared" si="18"/>
        <v>465750</v>
      </c>
      <c r="M37" s="7"/>
      <c r="N37" s="9"/>
    </row>
    <row r="38" spans="3:14">
      <c r="C38" s="5">
        <f t="shared" si="1"/>
        <v>36</v>
      </c>
      <c r="D38" s="5"/>
      <c r="E38" s="24" t="s">
        <v>34</v>
      </c>
      <c r="F38" s="32">
        <v>3105000</v>
      </c>
      <c r="G38" s="23" t="s">
        <v>53</v>
      </c>
      <c r="H38" s="7">
        <v>5</v>
      </c>
      <c r="I38" s="11">
        <f t="shared" si="16"/>
        <v>15525000</v>
      </c>
      <c r="J38" s="54" t="s">
        <v>134</v>
      </c>
      <c r="K38" s="7">
        <v>3</v>
      </c>
      <c r="L38" s="14">
        <f>K38*I38%</f>
        <v>465750</v>
      </c>
      <c r="M38" s="7"/>
      <c r="N38" s="9"/>
    </row>
    <row r="39" spans="3:14">
      <c r="C39" s="5">
        <f t="shared" si="1"/>
        <v>37</v>
      </c>
      <c r="D39" s="5"/>
      <c r="E39" s="42" t="s">
        <v>9</v>
      </c>
      <c r="F39" s="43">
        <v>3435000</v>
      </c>
      <c r="G39" s="44" t="s">
        <v>54</v>
      </c>
      <c r="H39" s="45">
        <v>6</v>
      </c>
      <c r="I39" s="46">
        <f t="shared" ref="I39:I54" si="19">H39*F39</f>
        <v>20610000</v>
      </c>
      <c r="J39" s="55" t="s">
        <v>132</v>
      </c>
      <c r="K39" s="45">
        <v>8</v>
      </c>
      <c r="L39" s="47">
        <f>K39*I39%</f>
        <v>1648800</v>
      </c>
      <c r="M39" s="7"/>
      <c r="N39" s="9"/>
    </row>
    <row r="40" spans="3:14">
      <c r="C40" s="5">
        <f t="shared" si="1"/>
        <v>38</v>
      </c>
      <c r="D40" s="5"/>
      <c r="E40" s="42" t="s">
        <v>12</v>
      </c>
      <c r="F40" s="48">
        <v>108000</v>
      </c>
      <c r="G40" s="49" t="s">
        <v>105</v>
      </c>
      <c r="H40" s="45">
        <v>56</v>
      </c>
      <c r="I40" s="46">
        <f t="shared" si="19"/>
        <v>6048000</v>
      </c>
      <c r="J40" s="57" t="s">
        <v>132</v>
      </c>
      <c r="K40" s="45">
        <v>8</v>
      </c>
      <c r="L40" s="47">
        <f t="shared" ref="L40" si="20">K40*I40%</f>
        <v>483840</v>
      </c>
      <c r="M40" s="7"/>
      <c r="N40" s="9"/>
    </row>
    <row r="41" spans="3:14" ht="17">
      <c r="C41" s="5">
        <f t="shared" si="1"/>
        <v>39</v>
      </c>
      <c r="D41" s="5"/>
      <c r="E41" s="51" t="s">
        <v>56</v>
      </c>
      <c r="F41" s="48">
        <v>978000</v>
      </c>
      <c r="G41" s="44" t="s">
        <v>55</v>
      </c>
      <c r="H41" s="45">
        <v>2</v>
      </c>
      <c r="I41" s="46">
        <f t="shared" si="19"/>
        <v>1956000</v>
      </c>
      <c r="J41" s="55" t="s">
        <v>132</v>
      </c>
      <c r="K41" s="45">
        <v>5</v>
      </c>
      <c r="L41" s="47">
        <f t="shared" ref="L41:L46" si="21">K41*I41%</f>
        <v>97800</v>
      </c>
      <c r="M41" s="7"/>
      <c r="N41" s="9"/>
    </row>
    <row r="42" spans="3:14" ht="17">
      <c r="C42" s="5">
        <f t="shared" si="1"/>
        <v>40</v>
      </c>
      <c r="D42" s="5"/>
      <c r="E42" s="51" t="s">
        <v>56</v>
      </c>
      <c r="F42" s="48">
        <v>978000</v>
      </c>
      <c r="G42" s="44" t="s">
        <v>57</v>
      </c>
      <c r="H42" s="45">
        <v>13</v>
      </c>
      <c r="I42" s="46">
        <f t="shared" si="19"/>
        <v>12714000</v>
      </c>
      <c r="J42" s="55" t="s">
        <v>132</v>
      </c>
      <c r="K42" s="45">
        <v>5</v>
      </c>
      <c r="L42" s="47">
        <f t="shared" si="21"/>
        <v>635700</v>
      </c>
      <c r="M42" s="7"/>
      <c r="N42" s="9"/>
    </row>
    <row r="43" spans="3:14" ht="17">
      <c r="C43" s="5">
        <f t="shared" si="1"/>
        <v>41</v>
      </c>
      <c r="D43" s="5"/>
      <c r="E43" s="51" t="s">
        <v>56</v>
      </c>
      <c r="F43" s="48">
        <v>978000</v>
      </c>
      <c r="G43" s="44" t="s">
        <v>58</v>
      </c>
      <c r="H43" s="45">
        <v>20</v>
      </c>
      <c r="I43" s="46">
        <f t="shared" si="19"/>
        <v>19560000</v>
      </c>
      <c r="J43" s="55" t="s">
        <v>132</v>
      </c>
      <c r="K43" s="45">
        <v>5</v>
      </c>
      <c r="L43" s="47">
        <f t="shared" si="21"/>
        <v>978000</v>
      </c>
      <c r="M43" s="7"/>
      <c r="N43" s="9"/>
    </row>
    <row r="44" spans="3:14">
      <c r="C44" s="5">
        <f t="shared" si="1"/>
        <v>42</v>
      </c>
      <c r="D44" s="5"/>
      <c r="E44" s="42" t="s">
        <v>27</v>
      </c>
      <c r="F44" s="48">
        <v>978000</v>
      </c>
      <c r="G44" s="44" t="s">
        <v>59</v>
      </c>
      <c r="H44" s="45">
        <v>14</v>
      </c>
      <c r="I44" s="46">
        <f t="shared" si="19"/>
        <v>13692000</v>
      </c>
      <c r="J44" s="55" t="s">
        <v>132</v>
      </c>
      <c r="K44" s="45">
        <v>5</v>
      </c>
      <c r="L44" s="47">
        <f t="shared" si="21"/>
        <v>684600</v>
      </c>
      <c r="M44" s="7"/>
      <c r="N44" s="9"/>
    </row>
    <row r="45" spans="3:14">
      <c r="C45" s="5">
        <f t="shared" si="1"/>
        <v>43</v>
      </c>
      <c r="D45" s="5"/>
      <c r="E45" s="42" t="s">
        <v>27</v>
      </c>
      <c r="F45" s="48">
        <v>978000</v>
      </c>
      <c r="G45" s="44" t="s">
        <v>60</v>
      </c>
      <c r="H45" s="45">
        <v>20</v>
      </c>
      <c r="I45" s="46">
        <f t="shared" si="19"/>
        <v>19560000</v>
      </c>
      <c r="J45" s="55" t="s">
        <v>132</v>
      </c>
      <c r="K45" s="45">
        <v>5</v>
      </c>
      <c r="L45" s="47">
        <f t="shared" si="21"/>
        <v>978000</v>
      </c>
      <c r="M45" s="7"/>
      <c r="N45" s="9"/>
    </row>
    <row r="46" spans="3:14">
      <c r="C46" s="5">
        <f t="shared" si="1"/>
        <v>44</v>
      </c>
      <c r="D46" s="5"/>
      <c r="E46" s="42" t="s">
        <v>73</v>
      </c>
      <c r="F46" s="48">
        <v>714000</v>
      </c>
      <c r="G46" s="49" t="s">
        <v>91</v>
      </c>
      <c r="H46" s="45">
        <v>5</v>
      </c>
      <c r="I46" s="46">
        <f t="shared" si="19"/>
        <v>3570000</v>
      </c>
      <c r="J46" s="55" t="s">
        <v>132</v>
      </c>
      <c r="K46" s="45">
        <v>8</v>
      </c>
      <c r="L46" s="47">
        <f t="shared" si="21"/>
        <v>285600</v>
      </c>
      <c r="M46" s="7"/>
      <c r="N46" s="9"/>
    </row>
    <row r="47" spans="3:14">
      <c r="C47" s="5">
        <f t="shared" si="1"/>
        <v>45</v>
      </c>
      <c r="D47" s="5"/>
      <c r="E47" s="42" t="s">
        <v>80</v>
      </c>
      <c r="F47" s="48">
        <v>360000</v>
      </c>
      <c r="G47" s="49" t="s">
        <v>97</v>
      </c>
      <c r="H47" s="45">
        <v>20</v>
      </c>
      <c r="I47" s="46">
        <f t="shared" si="19"/>
        <v>7200000</v>
      </c>
      <c r="J47" s="55" t="s">
        <v>132</v>
      </c>
      <c r="K47" s="45">
        <v>8</v>
      </c>
      <c r="L47" s="47">
        <f t="shared" ref="L47:L53" si="22">K47*I47%</f>
        <v>576000</v>
      </c>
      <c r="M47" s="7"/>
      <c r="N47" s="9"/>
    </row>
    <row r="48" spans="3:14">
      <c r="C48" s="5">
        <f t="shared" si="1"/>
        <v>46</v>
      </c>
      <c r="D48" s="5"/>
      <c r="E48" s="50" t="s">
        <v>86</v>
      </c>
      <c r="F48" s="48">
        <v>628000</v>
      </c>
      <c r="G48" s="62" t="s">
        <v>120</v>
      </c>
      <c r="H48" s="45">
        <v>10</v>
      </c>
      <c r="I48" s="46">
        <f t="shared" si="19"/>
        <v>6280000</v>
      </c>
      <c r="J48" s="55" t="s">
        <v>132</v>
      </c>
      <c r="K48" s="45">
        <v>8</v>
      </c>
      <c r="L48" s="47">
        <f t="shared" si="22"/>
        <v>502400</v>
      </c>
      <c r="M48" s="7"/>
      <c r="N48" s="9"/>
    </row>
    <row r="49" spans="3:14">
      <c r="C49" s="5">
        <f t="shared" si="1"/>
        <v>47</v>
      </c>
      <c r="D49" s="5"/>
      <c r="E49" s="50" t="s">
        <v>12</v>
      </c>
      <c r="F49" s="48">
        <v>108000</v>
      </c>
      <c r="G49" s="49" t="s">
        <v>102</v>
      </c>
      <c r="H49" s="45">
        <v>30</v>
      </c>
      <c r="I49" s="46">
        <f t="shared" si="19"/>
        <v>3240000</v>
      </c>
      <c r="J49" s="57" t="s">
        <v>132</v>
      </c>
      <c r="K49" s="45">
        <v>8</v>
      </c>
      <c r="L49" s="47">
        <f t="shared" si="22"/>
        <v>259200</v>
      </c>
      <c r="M49" s="7"/>
      <c r="N49" s="9"/>
    </row>
    <row r="50" spans="3:14">
      <c r="C50" s="5">
        <f t="shared" si="1"/>
        <v>48</v>
      </c>
      <c r="D50" s="5"/>
      <c r="E50" s="42" t="s">
        <v>12</v>
      </c>
      <c r="F50" s="48">
        <v>108000</v>
      </c>
      <c r="G50" s="49" t="s">
        <v>103</v>
      </c>
      <c r="H50" s="45">
        <v>49</v>
      </c>
      <c r="I50" s="46">
        <f t="shared" si="19"/>
        <v>5292000</v>
      </c>
      <c r="J50" s="57" t="s">
        <v>132</v>
      </c>
      <c r="K50" s="45">
        <v>8</v>
      </c>
      <c r="L50" s="47">
        <f t="shared" si="22"/>
        <v>423360</v>
      </c>
      <c r="M50" s="7"/>
      <c r="N50" s="9"/>
    </row>
    <row r="51" spans="3:14">
      <c r="C51" s="5">
        <f t="shared" si="1"/>
        <v>49</v>
      </c>
      <c r="D51" s="5"/>
      <c r="E51" s="50" t="s">
        <v>12</v>
      </c>
      <c r="F51" s="48">
        <v>108000</v>
      </c>
      <c r="G51" s="49" t="s">
        <v>104</v>
      </c>
      <c r="H51" s="45">
        <v>20</v>
      </c>
      <c r="I51" s="46">
        <f t="shared" si="19"/>
        <v>2160000</v>
      </c>
      <c r="J51" s="57" t="s">
        <v>132</v>
      </c>
      <c r="K51" s="45">
        <v>8</v>
      </c>
      <c r="L51" s="47">
        <f t="shared" si="22"/>
        <v>172800</v>
      </c>
      <c r="M51" s="7"/>
      <c r="N51" s="9"/>
    </row>
    <row r="52" spans="3:14">
      <c r="C52" s="5">
        <f t="shared" si="1"/>
        <v>50</v>
      </c>
      <c r="D52" s="5"/>
      <c r="E52" s="50" t="s">
        <v>27</v>
      </c>
      <c r="F52" s="48">
        <v>978000</v>
      </c>
      <c r="G52" s="49" t="s">
        <v>109</v>
      </c>
      <c r="H52" s="45">
        <v>1</v>
      </c>
      <c r="I52" s="46">
        <f t="shared" si="19"/>
        <v>978000</v>
      </c>
      <c r="J52" s="55" t="s">
        <v>132</v>
      </c>
      <c r="K52" s="45">
        <v>5</v>
      </c>
      <c r="L52" s="47">
        <f t="shared" si="22"/>
        <v>48900</v>
      </c>
      <c r="M52" s="7"/>
      <c r="N52" s="42"/>
    </row>
    <row r="53" spans="3:14">
      <c r="C53" s="5">
        <f t="shared" si="1"/>
        <v>51</v>
      </c>
      <c r="D53" s="5"/>
      <c r="E53" s="50" t="s">
        <v>56</v>
      </c>
      <c r="F53" s="48">
        <v>978000</v>
      </c>
      <c r="G53" s="49" t="s">
        <v>113</v>
      </c>
      <c r="H53" s="45">
        <v>1</v>
      </c>
      <c r="I53" s="46">
        <f t="shared" si="19"/>
        <v>978000</v>
      </c>
      <c r="J53" s="55" t="s">
        <v>132</v>
      </c>
      <c r="K53" s="45">
        <v>5</v>
      </c>
      <c r="L53" s="47">
        <f t="shared" si="22"/>
        <v>48900</v>
      </c>
      <c r="M53" s="7"/>
      <c r="N53" s="42"/>
    </row>
    <row r="54" spans="3:14">
      <c r="C54" s="5">
        <f t="shared" ref="C54:C68" si="23">ROW()-2</f>
        <v>52</v>
      </c>
      <c r="D54" s="5"/>
      <c r="E54" s="25" t="s">
        <v>9</v>
      </c>
      <c r="F54" s="33">
        <v>3435000</v>
      </c>
      <c r="G54" s="37" t="s">
        <v>101</v>
      </c>
      <c r="H54" s="26">
        <v>38</v>
      </c>
      <c r="I54" s="27">
        <f t="shared" si="19"/>
        <v>130530000</v>
      </c>
      <c r="J54" s="56" t="s">
        <v>36</v>
      </c>
      <c r="K54" s="26">
        <v>8</v>
      </c>
      <c r="L54" s="28">
        <f t="shared" ref="L54" si="24">K54*I54%</f>
        <v>10442400</v>
      </c>
      <c r="M54" s="7"/>
      <c r="N54" s="9"/>
    </row>
    <row r="55" spans="3:14">
      <c r="C55" s="5">
        <f t="shared" si="23"/>
        <v>53</v>
      </c>
      <c r="D55" s="5"/>
      <c r="E55" s="38" t="s">
        <v>74</v>
      </c>
      <c r="F55" s="34">
        <v>284000</v>
      </c>
      <c r="G55" s="37" t="s">
        <v>92</v>
      </c>
      <c r="H55" s="26">
        <v>10</v>
      </c>
      <c r="I55" s="27">
        <f t="shared" ref="I55:I60" si="25">H55*F55</f>
        <v>2840000</v>
      </c>
      <c r="J55" s="58" t="s">
        <v>36</v>
      </c>
      <c r="K55" s="26">
        <v>8</v>
      </c>
      <c r="L55" s="28">
        <f t="shared" ref="L55:L60" si="26">K55*I55%</f>
        <v>227200</v>
      </c>
      <c r="M55" s="7"/>
      <c r="N55" s="9"/>
    </row>
    <row r="56" spans="3:14">
      <c r="C56" s="5">
        <f t="shared" si="23"/>
        <v>54</v>
      </c>
      <c r="D56" s="5"/>
      <c r="E56" s="38" t="s">
        <v>75</v>
      </c>
      <c r="F56" s="34">
        <v>189000</v>
      </c>
      <c r="G56" s="37" t="s">
        <v>93</v>
      </c>
      <c r="H56" s="26">
        <v>50</v>
      </c>
      <c r="I56" s="27">
        <f t="shared" si="25"/>
        <v>9450000</v>
      </c>
      <c r="J56" s="58" t="s">
        <v>36</v>
      </c>
      <c r="K56" s="26">
        <v>8</v>
      </c>
      <c r="L56" s="28">
        <f t="shared" si="26"/>
        <v>756000</v>
      </c>
      <c r="M56" s="7"/>
      <c r="N56" s="9"/>
    </row>
    <row r="57" spans="3:14">
      <c r="C57" s="5">
        <f t="shared" si="23"/>
        <v>55</v>
      </c>
      <c r="D57" s="5"/>
      <c r="E57" s="38" t="s">
        <v>76</v>
      </c>
      <c r="F57" s="34">
        <v>109000</v>
      </c>
      <c r="G57" s="40" t="s">
        <v>131</v>
      </c>
      <c r="H57" s="26">
        <v>50</v>
      </c>
      <c r="I57" s="27">
        <f t="shared" si="25"/>
        <v>5450000</v>
      </c>
      <c r="J57" s="58" t="s">
        <v>36</v>
      </c>
      <c r="K57" s="26">
        <v>8</v>
      </c>
      <c r="L57" s="28">
        <f t="shared" si="26"/>
        <v>436000</v>
      </c>
      <c r="M57" s="7"/>
      <c r="N57" s="9"/>
    </row>
    <row r="58" spans="3:14">
      <c r="C58" s="5">
        <f t="shared" si="23"/>
        <v>56</v>
      </c>
      <c r="D58" s="5"/>
      <c r="E58" s="38" t="s">
        <v>77</v>
      </c>
      <c r="F58" s="34">
        <v>284000</v>
      </c>
      <c r="G58" s="37" t="s">
        <v>94</v>
      </c>
      <c r="H58" s="26">
        <v>50</v>
      </c>
      <c r="I58" s="27">
        <f t="shared" si="25"/>
        <v>14200000</v>
      </c>
      <c r="J58" s="58" t="s">
        <v>36</v>
      </c>
      <c r="K58" s="26">
        <v>8</v>
      </c>
      <c r="L58" s="28">
        <f t="shared" si="26"/>
        <v>1136000</v>
      </c>
      <c r="M58" s="7"/>
      <c r="N58" s="9"/>
    </row>
    <row r="59" spans="3:14">
      <c r="C59" s="5">
        <f t="shared" si="23"/>
        <v>57</v>
      </c>
      <c r="D59" s="5"/>
      <c r="E59" s="25" t="s">
        <v>78</v>
      </c>
      <c r="F59" s="34">
        <v>166000</v>
      </c>
      <c r="G59" s="37" t="s">
        <v>95</v>
      </c>
      <c r="H59" s="26">
        <v>50</v>
      </c>
      <c r="I59" s="27">
        <f t="shared" si="25"/>
        <v>8300000</v>
      </c>
      <c r="J59" s="58" t="s">
        <v>36</v>
      </c>
      <c r="K59" s="26">
        <v>8</v>
      </c>
      <c r="L59" s="28">
        <f t="shared" si="26"/>
        <v>664000</v>
      </c>
      <c r="M59" s="7"/>
      <c r="N59" s="9"/>
    </row>
    <row r="60" spans="3:14">
      <c r="C60" s="5">
        <f t="shared" si="23"/>
        <v>58</v>
      </c>
      <c r="D60" s="5"/>
      <c r="E60" s="38" t="s">
        <v>79</v>
      </c>
      <c r="F60" s="34">
        <v>293000</v>
      </c>
      <c r="G60" s="37" t="s">
        <v>96</v>
      </c>
      <c r="H60" s="26">
        <v>20</v>
      </c>
      <c r="I60" s="27">
        <f t="shared" si="25"/>
        <v>5860000</v>
      </c>
      <c r="J60" s="58" t="s">
        <v>36</v>
      </c>
      <c r="K60" s="26">
        <v>8</v>
      </c>
      <c r="L60" s="28">
        <f t="shared" si="26"/>
        <v>468800</v>
      </c>
      <c r="M60" s="7"/>
      <c r="N60" s="22"/>
    </row>
    <row r="61" spans="3:14">
      <c r="C61" s="5">
        <f t="shared" si="23"/>
        <v>59</v>
      </c>
      <c r="D61" s="5"/>
      <c r="E61" s="25" t="s">
        <v>72</v>
      </c>
      <c r="F61" s="34">
        <v>246000</v>
      </c>
      <c r="G61" s="37" t="s">
        <v>98</v>
      </c>
      <c r="H61" s="26">
        <v>10</v>
      </c>
      <c r="I61" s="27">
        <f t="shared" ref="I61:I63" si="27">H61*F61</f>
        <v>2460000</v>
      </c>
      <c r="J61" s="58" t="s">
        <v>36</v>
      </c>
      <c r="K61" s="26">
        <v>8</v>
      </c>
      <c r="L61" s="28">
        <f t="shared" ref="L61:L63" si="28">K61*I61%</f>
        <v>196800</v>
      </c>
      <c r="M61" s="7"/>
      <c r="N61" s="9"/>
    </row>
    <row r="62" spans="3:14">
      <c r="C62" s="5">
        <f t="shared" si="23"/>
        <v>60</v>
      </c>
      <c r="D62" s="5"/>
      <c r="E62" s="38" t="s">
        <v>73</v>
      </c>
      <c r="F62" s="34">
        <v>714000</v>
      </c>
      <c r="G62" s="37" t="s">
        <v>99</v>
      </c>
      <c r="H62" s="26">
        <v>10</v>
      </c>
      <c r="I62" s="27">
        <f t="shared" si="27"/>
        <v>7140000</v>
      </c>
      <c r="J62" s="58" t="s">
        <v>36</v>
      </c>
      <c r="K62" s="26">
        <v>8</v>
      </c>
      <c r="L62" s="28">
        <f t="shared" si="28"/>
        <v>571200</v>
      </c>
      <c r="M62" s="7"/>
      <c r="N62" s="9"/>
    </row>
    <row r="63" spans="3:14">
      <c r="C63" s="5">
        <f t="shared" si="23"/>
        <v>61</v>
      </c>
      <c r="D63" s="5"/>
      <c r="E63" s="25" t="s">
        <v>9</v>
      </c>
      <c r="F63" s="34">
        <v>3435000</v>
      </c>
      <c r="G63" s="37" t="s">
        <v>100</v>
      </c>
      <c r="H63" s="26">
        <v>6</v>
      </c>
      <c r="I63" s="27">
        <f t="shared" si="27"/>
        <v>20610000</v>
      </c>
      <c r="J63" s="56" t="s">
        <v>36</v>
      </c>
      <c r="K63" s="26">
        <v>8</v>
      </c>
      <c r="L63" s="28">
        <f t="shared" si="28"/>
        <v>1648800</v>
      </c>
      <c r="M63" s="7"/>
      <c r="N63" s="9"/>
    </row>
    <row r="64" spans="3:14">
      <c r="C64" s="5">
        <f t="shared" si="23"/>
        <v>62</v>
      </c>
      <c r="D64" s="5"/>
      <c r="E64" s="25" t="s">
        <v>18</v>
      </c>
      <c r="F64" s="34">
        <v>119000</v>
      </c>
      <c r="G64" s="37" t="s">
        <v>106</v>
      </c>
      <c r="H64" s="26">
        <v>20</v>
      </c>
      <c r="I64" s="27">
        <f t="shared" ref="I64:I68" si="29">H64*F64</f>
        <v>2380000</v>
      </c>
      <c r="J64" s="56" t="s">
        <v>36</v>
      </c>
      <c r="K64" s="26">
        <v>8</v>
      </c>
      <c r="L64" s="28">
        <f t="shared" ref="L64:L67" si="30">K64*I64%</f>
        <v>190400</v>
      </c>
      <c r="M64" s="7"/>
      <c r="N64" s="9"/>
    </row>
    <row r="65" spans="3:14">
      <c r="C65" s="5">
        <f t="shared" si="23"/>
        <v>63</v>
      </c>
      <c r="D65" s="5"/>
      <c r="E65" s="38" t="s">
        <v>21</v>
      </c>
      <c r="F65" s="34">
        <v>66000</v>
      </c>
      <c r="G65" s="37" t="s">
        <v>107</v>
      </c>
      <c r="H65" s="26">
        <v>50</v>
      </c>
      <c r="I65" s="27">
        <f t="shared" si="29"/>
        <v>3300000</v>
      </c>
      <c r="J65" s="58" t="s">
        <v>36</v>
      </c>
      <c r="K65" s="26">
        <v>8</v>
      </c>
      <c r="L65" s="28">
        <f t="shared" ref="L65" si="31">K65*I65%</f>
        <v>264000</v>
      </c>
      <c r="M65" s="7"/>
      <c r="N65" s="9"/>
    </row>
    <row r="66" spans="3:14">
      <c r="C66" s="5">
        <f t="shared" si="23"/>
        <v>64</v>
      </c>
      <c r="D66" s="5"/>
      <c r="E66" s="25" t="s">
        <v>24</v>
      </c>
      <c r="F66" s="34">
        <v>71000</v>
      </c>
      <c r="G66" s="37" t="s">
        <v>108</v>
      </c>
      <c r="H66" s="26">
        <v>20</v>
      </c>
      <c r="I66" s="27">
        <f t="shared" si="29"/>
        <v>1420000</v>
      </c>
      <c r="J66" s="58" t="s">
        <v>132</v>
      </c>
      <c r="K66" s="26">
        <v>8</v>
      </c>
      <c r="L66" s="28">
        <f t="shared" si="30"/>
        <v>113600</v>
      </c>
      <c r="M66" s="7"/>
      <c r="N66" s="9"/>
    </row>
    <row r="67" spans="3:14">
      <c r="C67" s="5">
        <f t="shared" si="23"/>
        <v>65</v>
      </c>
      <c r="D67" s="5"/>
      <c r="E67" s="25" t="s">
        <v>29</v>
      </c>
      <c r="F67" s="34">
        <v>57000</v>
      </c>
      <c r="G67" s="37" t="s">
        <v>110</v>
      </c>
      <c r="H67" s="26">
        <v>20</v>
      </c>
      <c r="I67" s="27">
        <f t="shared" si="29"/>
        <v>1140000</v>
      </c>
      <c r="J67" s="58" t="s">
        <v>36</v>
      </c>
      <c r="K67" s="26">
        <v>8</v>
      </c>
      <c r="L67" s="28">
        <f t="shared" si="30"/>
        <v>91200</v>
      </c>
      <c r="M67" s="7"/>
      <c r="N67" s="9"/>
    </row>
    <row r="68" spans="3:14">
      <c r="C68" s="5">
        <f t="shared" si="23"/>
        <v>66</v>
      </c>
      <c r="D68" s="5"/>
      <c r="E68" s="38" t="s">
        <v>34</v>
      </c>
      <c r="F68" s="34">
        <v>3105000</v>
      </c>
      <c r="G68" s="37" t="s">
        <v>111</v>
      </c>
      <c r="H68" s="26">
        <v>5</v>
      </c>
      <c r="I68" s="27">
        <f t="shared" si="29"/>
        <v>15525000</v>
      </c>
      <c r="J68" s="40" t="s">
        <v>135</v>
      </c>
      <c r="K68" s="26">
        <v>3</v>
      </c>
      <c r="L68" s="28">
        <f t="shared" ref="L68" si="32">K68*I68%</f>
        <v>465750</v>
      </c>
      <c r="M68" s="7"/>
      <c r="N68" s="9"/>
    </row>
    <row r="69" spans="3:14">
      <c r="C69" s="5">
        <f t="shared" ref="C69:C100" si="33">ROW()-2</f>
        <v>67</v>
      </c>
      <c r="D69" s="5"/>
      <c r="E69" s="25" t="s">
        <v>56</v>
      </c>
      <c r="F69" s="34">
        <v>978000</v>
      </c>
      <c r="G69" s="37" t="s">
        <v>112</v>
      </c>
      <c r="H69" s="26">
        <v>3</v>
      </c>
      <c r="I69" s="27">
        <f t="shared" ref="I69:I88" si="34">H69*F69</f>
        <v>2934000</v>
      </c>
      <c r="J69" s="58" t="s">
        <v>36</v>
      </c>
      <c r="K69" s="26">
        <v>5</v>
      </c>
      <c r="L69" s="28">
        <f t="shared" ref="L69:L88" si="35">K69*I69%</f>
        <v>146700</v>
      </c>
      <c r="M69" s="7"/>
      <c r="N69" s="9"/>
    </row>
    <row r="70" spans="3:14">
      <c r="C70" s="5">
        <f t="shared" si="33"/>
        <v>68</v>
      </c>
      <c r="D70" s="5"/>
      <c r="E70" s="25" t="s">
        <v>56</v>
      </c>
      <c r="F70" s="34">
        <v>978000</v>
      </c>
      <c r="G70" s="39" t="s">
        <v>114</v>
      </c>
      <c r="H70" s="26">
        <v>20</v>
      </c>
      <c r="I70" s="27">
        <f t="shared" si="34"/>
        <v>19560000</v>
      </c>
      <c r="J70" s="58" t="s">
        <v>36</v>
      </c>
      <c r="K70" s="26">
        <v>5</v>
      </c>
      <c r="L70" s="28">
        <f t="shared" si="35"/>
        <v>978000</v>
      </c>
      <c r="M70" s="7"/>
      <c r="N70" s="9"/>
    </row>
    <row r="71" spans="3:14">
      <c r="C71" s="5">
        <f t="shared" si="33"/>
        <v>69</v>
      </c>
      <c r="D71" s="5"/>
      <c r="E71" s="38" t="s">
        <v>27</v>
      </c>
      <c r="F71" s="34">
        <v>978000</v>
      </c>
      <c r="G71" s="39" t="s">
        <v>116</v>
      </c>
      <c r="H71" s="26">
        <v>20</v>
      </c>
      <c r="I71" s="27">
        <f t="shared" si="34"/>
        <v>19560000</v>
      </c>
      <c r="J71" s="58" t="s">
        <v>36</v>
      </c>
      <c r="K71" s="26">
        <v>5</v>
      </c>
      <c r="L71" s="28">
        <f t="shared" si="35"/>
        <v>978000</v>
      </c>
      <c r="M71" s="7"/>
      <c r="N71" s="9"/>
    </row>
    <row r="72" spans="3:14">
      <c r="C72" s="5">
        <f t="shared" si="33"/>
        <v>70</v>
      </c>
      <c r="D72" s="5"/>
      <c r="E72" s="25" t="s">
        <v>9</v>
      </c>
      <c r="F72" s="34">
        <v>3435000</v>
      </c>
      <c r="G72" s="39" t="s">
        <v>118</v>
      </c>
      <c r="H72" s="26">
        <v>39</v>
      </c>
      <c r="I72" s="27">
        <f t="shared" si="34"/>
        <v>133965000</v>
      </c>
      <c r="J72" s="56" t="s">
        <v>36</v>
      </c>
      <c r="K72" s="26">
        <v>8</v>
      </c>
      <c r="L72" s="28">
        <f t="shared" si="35"/>
        <v>10717200</v>
      </c>
      <c r="M72" s="7"/>
      <c r="N72" s="9"/>
    </row>
    <row r="73" spans="3:14">
      <c r="C73" s="5">
        <f t="shared" si="33"/>
        <v>71</v>
      </c>
      <c r="D73" s="5"/>
      <c r="E73" s="38" t="s">
        <v>12</v>
      </c>
      <c r="F73" s="34">
        <v>108000</v>
      </c>
      <c r="G73" s="39" t="s">
        <v>119</v>
      </c>
      <c r="H73" s="26">
        <v>18</v>
      </c>
      <c r="I73" s="27">
        <f t="shared" si="34"/>
        <v>1944000</v>
      </c>
      <c r="J73" s="56" t="s">
        <v>36</v>
      </c>
      <c r="K73" s="26">
        <v>8</v>
      </c>
      <c r="L73" s="28">
        <f t="shared" si="35"/>
        <v>155520</v>
      </c>
      <c r="M73" s="7"/>
      <c r="N73" s="9"/>
    </row>
    <row r="74" spans="3:14">
      <c r="C74" s="5">
        <f t="shared" si="33"/>
        <v>72</v>
      </c>
      <c r="D74" s="5"/>
      <c r="E74" s="25" t="s">
        <v>56</v>
      </c>
      <c r="F74" s="34">
        <v>978000</v>
      </c>
      <c r="G74" s="39" t="s">
        <v>115</v>
      </c>
      <c r="H74" s="26">
        <v>12</v>
      </c>
      <c r="I74" s="28">
        <f t="shared" si="34"/>
        <v>11736000</v>
      </c>
      <c r="J74" s="58" t="s">
        <v>36</v>
      </c>
      <c r="K74" s="26">
        <v>5</v>
      </c>
      <c r="L74" s="28">
        <f t="shared" si="35"/>
        <v>586800</v>
      </c>
      <c r="M74" s="7"/>
      <c r="N74" s="9"/>
    </row>
    <row r="75" spans="3:14">
      <c r="C75" s="5">
        <f t="shared" si="33"/>
        <v>73</v>
      </c>
      <c r="D75" s="5"/>
      <c r="E75" s="38" t="s">
        <v>27</v>
      </c>
      <c r="F75" s="34">
        <v>978000</v>
      </c>
      <c r="G75" s="39" t="s">
        <v>117</v>
      </c>
      <c r="H75" s="26">
        <v>14</v>
      </c>
      <c r="I75" s="28">
        <f t="shared" si="34"/>
        <v>13692000</v>
      </c>
      <c r="J75" s="58" t="s">
        <v>36</v>
      </c>
      <c r="K75" s="26">
        <v>5</v>
      </c>
      <c r="L75" s="28">
        <f t="shared" si="35"/>
        <v>684600</v>
      </c>
      <c r="M75" s="7"/>
      <c r="N75" s="9"/>
    </row>
    <row r="76" spans="3:14">
      <c r="C76" s="5">
        <f t="shared" si="33"/>
        <v>74</v>
      </c>
      <c r="D76" s="5"/>
      <c r="E76" s="25" t="s">
        <v>29</v>
      </c>
      <c r="F76" s="34">
        <v>57000</v>
      </c>
      <c r="G76" s="40" t="s">
        <v>121</v>
      </c>
      <c r="H76" s="26">
        <v>20</v>
      </c>
      <c r="I76" s="28">
        <f t="shared" si="34"/>
        <v>1140000</v>
      </c>
      <c r="J76" s="58" t="s">
        <v>36</v>
      </c>
      <c r="K76" s="26">
        <v>8</v>
      </c>
      <c r="L76" s="28">
        <f t="shared" si="35"/>
        <v>91200</v>
      </c>
      <c r="M76" s="7"/>
      <c r="N76" s="9"/>
    </row>
    <row r="77" spans="3:14">
      <c r="C77" s="5">
        <f t="shared" si="33"/>
        <v>75</v>
      </c>
      <c r="D77" s="5"/>
      <c r="E77" s="38" t="s">
        <v>15</v>
      </c>
      <c r="F77" s="34">
        <v>189000</v>
      </c>
      <c r="G77" s="40" t="s">
        <v>122</v>
      </c>
      <c r="H77" s="26">
        <v>20</v>
      </c>
      <c r="I77" s="28">
        <f t="shared" si="34"/>
        <v>3780000</v>
      </c>
      <c r="J77" s="58" t="s">
        <v>36</v>
      </c>
      <c r="K77" s="26">
        <v>8</v>
      </c>
      <c r="L77" s="28">
        <f>K77*I77%</f>
        <v>302400</v>
      </c>
      <c r="M77" s="7"/>
      <c r="N77" s="9"/>
    </row>
    <row r="78" spans="3:14">
      <c r="C78" s="5">
        <f t="shared" si="33"/>
        <v>76</v>
      </c>
      <c r="D78" s="5"/>
      <c r="E78" s="38" t="s">
        <v>18</v>
      </c>
      <c r="F78" s="34">
        <v>119000</v>
      </c>
      <c r="G78" s="40" t="s">
        <v>123</v>
      </c>
      <c r="H78" s="26">
        <v>20</v>
      </c>
      <c r="I78" s="28">
        <f t="shared" si="34"/>
        <v>2380000</v>
      </c>
      <c r="J78" s="60" t="s">
        <v>36</v>
      </c>
      <c r="K78" s="26">
        <v>8</v>
      </c>
      <c r="L78" s="28">
        <f t="shared" si="35"/>
        <v>190400</v>
      </c>
      <c r="M78" s="7"/>
      <c r="N78" s="9"/>
    </row>
    <row r="79" spans="3:14">
      <c r="C79" s="5">
        <f t="shared" si="33"/>
        <v>77</v>
      </c>
      <c r="D79" s="5"/>
      <c r="E79" s="38" t="s">
        <v>21</v>
      </c>
      <c r="F79" s="34">
        <v>66000</v>
      </c>
      <c r="G79" s="40" t="s">
        <v>124</v>
      </c>
      <c r="H79" s="26">
        <v>50</v>
      </c>
      <c r="I79" s="28">
        <f t="shared" si="34"/>
        <v>3300000</v>
      </c>
      <c r="J79" s="58" t="s">
        <v>36</v>
      </c>
      <c r="K79" s="26">
        <v>8</v>
      </c>
      <c r="L79" s="28">
        <f t="shared" si="35"/>
        <v>264000</v>
      </c>
      <c r="M79" s="7"/>
      <c r="N79" s="9"/>
    </row>
    <row r="80" spans="3:14">
      <c r="C80" s="5">
        <f t="shared" si="33"/>
        <v>78</v>
      </c>
      <c r="D80" s="5"/>
      <c r="E80" s="38" t="s">
        <v>27</v>
      </c>
      <c r="F80" s="34">
        <v>978000</v>
      </c>
      <c r="G80" s="40" t="s">
        <v>125</v>
      </c>
      <c r="H80" s="26">
        <v>1</v>
      </c>
      <c r="I80" s="28">
        <f t="shared" si="34"/>
        <v>978000</v>
      </c>
      <c r="J80" s="58" t="s">
        <v>36</v>
      </c>
      <c r="K80" s="26">
        <v>5</v>
      </c>
      <c r="L80" s="28">
        <f t="shared" si="35"/>
        <v>48900</v>
      </c>
      <c r="M80" s="7"/>
      <c r="N80" s="9"/>
    </row>
    <row r="81" spans="3:14">
      <c r="C81" s="5">
        <f t="shared" si="33"/>
        <v>79</v>
      </c>
      <c r="D81" s="5"/>
      <c r="E81" s="38" t="s">
        <v>73</v>
      </c>
      <c r="F81" s="34">
        <v>714000</v>
      </c>
      <c r="G81" s="40" t="s">
        <v>126</v>
      </c>
      <c r="H81" s="26">
        <v>20</v>
      </c>
      <c r="I81" s="28">
        <f t="shared" si="34"/>
        <v>14280000</v>
      </c>
      <c r="J81" s="58" t="s">
        <v>36</v>
      </c>
      <c r="K81" s="26">
        <v>8</v>
      </c>
      <c r="L81" s="28">
        <f t="shared" si="35"/>
        <v>1142400</v>
      </c>
      <c r="M81" s="7"/>
      <c r="N81" s="9"/>
    </row>
    <row r="82" spans="3:14">
      <c r="C82" s="5">
        <f t="shared" si="33"/>
        <v>80</v>
      </c>
      <c r="D82" s="5"/>
      <c r="E82" s="38" t="s">
        <v>74</v>
      </c>
      <c r="F82" s="34">
        <v>284000</v>
      </c>
      <c r="G82" s="40" t="s">
        <v>127</v>
      </c>
      <c r="H82" s="26">
        <v>20</v>
      </c>
      <c r="I82" s="28">
        <f t="shared" si="34"/>
        <v>5680000</v>
      </c>
      <c r="J82" s="60" t="s">
        <v>36</v>
      </c>
      <c r="K82" s="26">
        <v>8</v>
      </c>
      <c r="L82" s="28">
        <f t="shared" si="35"/>
        <v>454400</v>
      </c>
      <c r="M82" s="7"/>
      <c r="N82" s="9"/>
    </row>
    <row r="83" spans="3:14">
      <c r="C83" s="5">
        <f t="shared" si="33"/>
        <v>81</v>
      </c>
      <c r="D83" s="5"/>
      <c r="E83" s="38" t="s">
        <v>77</v>
      </c>
      <c r="F83" s="34">
        <v>284000</v>
      </c>
      <c r="G83" s="40" t="s">
        <v>128</v>
      </c>
      <c r="H83" s="26">
        <v>20</v>
      </c>
      <c r="I83" s="28">
        <f t="shared" si="34"/>
        <v>5680000</v>
      </c>
      <c r="J83" s="58" t="s">
        <v>36</v>
      </c>
      <c r="K83" s="26">
        <v>8</v>
      </c>
      <c r="L83" s="28">
        <f t="shared" si="35"/>
        <v>454400</v>
      </c>
      <c r="M83" s="7"/>
      <c r="N83" s="9"/>
    </row>
    <row r="84" spans="3:14">
      <c r="C84" s="5">
        <f t="shared" si="33"/>
        <v>82</v>
      </c>
      <c r="D84" s="5"/>
      <c r="E84" s="38" t="s">
        <v>78</v>
      </c>
      <c r="F84" s="34">
        <v>166000</v>
      </c>
      <c r="G84" s="40" t="s">
        <v>129</v>
      </c>
      <c r="H84" s="26">
        <v>20</v>
      </c>
      <c r="I84" s="28">
        <f t="shared" si="34"/>
        <v>3320000</v>
      </c>
      <c r="J84" s="58" t="s">
        <v>36</v>
      </c>
      <c r="K84" s="26">
        <v>8</v>
      </c>
      <c r="L84" s="28">
        <f t="shared" si="35"/>
        <v>265600</v>
      </c>
      <c r="M84" s="7"/>
      <c r="N84" s="9"/>
    </row>
    <row r="85" spans="3:14">
      <c r="C85" s="5">
        <f t="shared" si="33"/>
        <v>83</v>
      </c>
      <c r="D85" s="5"/>
      <c r="E85" s="38" t="s">
        <v>72</v>
      </c>
      <c r="F85" s="34">
        <v>246000</v>
      </c>
      <c r="G85" s="40" t="s">
        <v>130</v>
      </c>
      <c r="H85" s="26">
        <v>20</v>
      </c>
      <c r="I85" s="28">
        <f t="shared" si="34"/>
        <v>4920000</v>
      </c>
      <c r="J85" s="58" t="s">
        <v>36</v>
      </c>
      <c r="K85" s="26">
        <v>8</v>
      </c>
      <c r="L85" s="28">
        <f t="shared" si="35"/>
        <v>393600</v>
      </c>
      <c r="M85" s="7"/>
      <c r="N85" s="9"/>
    </row>
    <row r="86" spans="3:14">
      <c r="C86" s="5">
        <f t="shared" si="33"/>
        <v>84</v>
      </c>
      <c r="D86" s="41" t="s">
        <v>137</v>
      </c>
      <c r="E86" s="22" t="s">
        <v>9</v>
      </c>
      <c r="F86" s="32">
        <v>3435000</v>
      </c>
      <c r="G86" s="63" t="s">
        <v>138</v>
      </c>
      <c r="H86" s="7">
        <v>39</v>
      </c>
      <c r="I86" s="14">
        <f t="shared" si="34"/>
        <v>133965000</v>
      </c>
      <c r="J86" s="59"/>
      <c r="K86" s="7">
        <v>8</v>
      </c>
      <c r="L86" s="14">
        <f t="shared" si="35"/>
        <v>10717200</v>
      </c>
      <c r="M86" s="7"/>
      <c r="N86" s="9"/>
    </row>
    <row r="87" spans="3:14">
      <c r="C87" s="5">
        <f t="shared" si="33"/>
        <v>85</v>
      </c>
      <c r="D87" s="41" t="s">
        <v>137</v>
      </c>
      <c r="E87" s="22" t="s">
        <v>12</v>
      </c>
      <c r="F87" s="32">
        <v>108000</v>
      </c>
      <c r="G87" s="63" t="s">
        <v>139</v>
      </c>
      <c r="H87" s="70">
        <v>70</v>
      </c>
      <c r="I87" s="14">
        <f t="shared" si="34"/>
        <v>7560000</v>
      </c>
      <c r="J87" s="59"/>
      <c r="K87" s="7">
        <v>8</v>
      </c>
      <c r="L87" s="14">
        <f t="shared" si="35"/>
        <v>604800</v>
      </c>
      <c r="M87" s="7"/>
      <c r="N87" s="9"/>
    </row>
    <row r="88" spans="3:14">
      <c r="C88" s="5">
        <f t="shared" si="33"/>
        <v>86</v>
      </c>
      <c r="D88" s="41" t="s">
        <v>137</v>
      </c>
      <c r="E88" s="22" t="s">
        <v>27</v>
      </c>
      <c r="F88" s="32">
        <v>978000</v>
      </c>
      <c r="G88" s="63" t="s">
        <v>140</v>
      </c>
      <c r="H88" s="7">
        <v>4</v>
      </c>
      <c r="I88" s="14">
        <f t="shared" si="34"/>
        <v>3912000</v>
      </c>
      <c r="J88" s="59"/>
      <c r="K88" s="7">
        <v>8</v>
      </c>
      <c r="L88" s="14">
        <f t="shared" si="35"/>
        <v>312960</v>
      </c>
      <c r="M88" s="7"/>
      <c r="N88" s="9"/>
    </row>
    <row r="89" spans="3:14">
      <c r="C89" s="5">
        <f t="shared" si="33"/>
        <v>87</v>
      </c>
      <c r="D89" s="41" t="s">
        <v>137</v>
      </c>
      <c r="E89" s="22" t="s">
        <v>27</v>
      </c>
      <c r="F89" s="32">
        <v>978000</v>
      </c>
      <c r="G89" s="63" t="s">
        <v>141</v>
      </c>
      <c r="H89" s="7">
        <v>4</v>
      </c>
      <c r="I89" s="14">
        <f t="shared" ref="I89" si="36">H89*F89</f>
        <v>3912000</v>
      </c>
      <c r="J89" s="59"/>
      <c r="K89" s="7">
        <v>8</v>
      </c>
      <c r="L89" s="14">
        <f t="shared" ref="L89" si="37">K89*I89%</f>
        <v>312960</v>
      </c>
      <c r="M89" s="7"/>
      <c r="N89" s="9"/>
    </row>
    <row r="90" spans="3:14">
      <c r="C90" s="5">
        <f t="shared" si="33"/>
        <v>88</v>
      </c>
      <c r="D90" s="41" t="s">
        <v>137</v>
      </c>
      <c r="E90" s="22" t="s">
        <v>56</v>
      </c>
      <c r="F90" s="32">
        <v>978000</v>
      </c>
      <c r="G90" s="71" t="s">
        <v>142</v>
      </c>
      <c r="H90" s="7">
        <v>1</v>
      </c>
      <c r="I90" s="14">
        <f>H90*F90</f>
        <v>978000</v>
      </c>
      <c r="J90" s="59"/>
      <c r="K90" s="7">
        <v>8</v>
      </c>
      <c r="L90" s="14">
        <f t="shared" ref="L90:L95" si="38">K90*I90%</f>
        <v>78240</v>
      </c>
      <c r="M90" s="7"/>
      <c r="N90" s="9"/>
    </row>
    <row r="91" spans="3:14">
      <c r="C91" s="64">
        <f t="shared" si="33"/>
        <v>89</v>
      </c>
      <c r="D91" s="65" t="s">
        <v>137</v>
      </c>
      <c r="E91" s="66" t="s">
        <v>34</v>
      </c>
      <c r="F91" s="67">
        <v>3105000</v>
      </c>
      <c r="G91" s="66" t="s">
        <v>152</v>
      </c>
      <c r="H91" s="65">
        <v>10</v>
      </c>
      <c r="I91" s="68">
        <f>H91*F91</f>
        <v>31050000</v>
      </c>
      <c r="J91" s="69"/>
      <c r="K91" s="65">
        <v>8</v>
      </c>
      <c r="L91" s="68">
        <f t="shared" si="38"/>
        <v>2484000</v>
      </c>
      <c r="M91" s="7"/>
      <c r="N91" s="9"/>
    </row>
    <row r="92" spans="3:14">
      <c r="C92" s="5">
        <f t="shared" si="33"/>
        <v>90</v>
      </c>
      <c r="D92" s="41" t="s">
        <v>137</v>
      </c>
      <c r="E92" s="22" t="s">
        <v>21</v>
      </c>
      <c r="F92" s="73">
        <f>VLOOKUP(E92,Sheet2!$H$2:$I$30,2,0)</f>
        <v>66000</v>
      </c>
      <c r="G92" s="63" t="s">
        <v>143</v>
      </c>
      <c r="H92" s="7">
        <v>20</v>
      </c>
      <c r="I92" s="14">
        <f t="shared" ref="I92:I95" si="39">H92*F92</f>
        <v>1320000</v>
      </c>
      <c r="J92" s="59"/>
      <c r="K92" s="7">
        <v>8</v>
      </c>
      <c r="L92" s="14">
        <f t="shared" si="38"/>
        <v>105600</v>
      </c>
      <c r="M92" s="7"/>
      <c r="N92" s="9"/>
    </row>
    <row r="93" spans="3:14">
      <c r="C93" s="5">
        <f t="shared" si="33"/>
        <v>91</v>
      </c>
      <c r="D93" s="41" t="s">
        <v>137</v>
      </c>
      <c r="E93" s="22" t="s">
        <v>73</v>
      </c>
      <c r="F93" s="73">
        <f>VLOOKUP(E93,Sheet2!$H$2:$I$30,2,0)</f>
        <v>714000</v>
      </c>
      <c r="G93" s="63" t="s">
        <v>144</v>
      </c>
      <c r="H93" s="7">
        <v>20</v>
      </c>
      <c r="I93" s="14">
        <f t="shared" si="39"/>
        <v>14280000</v>
      </c>
      <c r="J93" s="59"/>
      <c r="K93" s="7">
        <v>8</v>
      </c>
      <c r="L93" s="14">
        <f t="shared" si="38"/>
        <v>1142400</v>
      </c>
      <c r="M93" s="7"/>
      <c r="N93" s="9"/>
    </row>
    <row r="94" spans="3:14">
      <c r="C94" s="5">
        <f t="shared" si="33"/>
        <v>92</v>
      </c>
      <c r="D94" s="41" t="s">
        <v>137</v>
      </c>
      <c r="E94" s="22" t="s">
        <v>77</v>
      </c>
      <c r="F94" s="73">
        <f>VLOOKUP(E94,Sheet2!$H$2:$I$30,2,0)</f>
        <v>284000</v>
      </c>
      <c r="G94" s="63" t="s">
        <v>145</v>
      </c>
      <c r="H94" s="7">
        <v>10</v>
      </c>
      <c r="I94" s="14">
        <f t="shared" si="39"/>
        <v>2840000</v>
      </c>
      <c r="J94" s="59"/>
      <c r="K94" s="7">
        <v>8</v>
      </c>
      <c r="L94" s="14">
        <f t="shared" si="38"/>
        <v>227200</v>
      </c>
      <c r="M94" s="7"/>
      <c r="N94" s="9"/>
    </row>
    <row r="95" spans="3:14">
      <c r="C95" s="5">
        <f t="shared" si="33"/>
        <v>93</v>
      </c>
      <c r="D95" s="41" t="s">
        <v>137</v>
      </c>
      <c r="E95" s="22" t="s">
        <v>86</v>
      </c>
      <c r="F95" s="73">
        <f>VLOOKUP(E95,Sheet2!$H$2:$I$30,2,0)</f>
        <v>628000</v>
      </c>
      <c r="G95" s="63" t="s">
        <v>146</v>
      </c>
      <c r="H95" s="7">
        <v>10</v>
      </c>
      <c r="I95" s="14">
        <f t="shared" si="39"/>
        <v>6280000</v>
      </c>
      <c r="J95" s="59"/>
      <c r="K95" s="7">
        <v>8</v>
      </c>
      <c r="L95" s="14">
        <f t="shared" si="38"/>
        <v>502400</v>
      </c>
      <c r="M95" s="7"/>
      <c r="N95" s="9"/>
    </row>
    <row r="96" spans="3:14">
      <c r="C96" s="5">
        <f t="shared" si="33"/>
        <v>94</v>
      </c>
      <c r="D96" s="70" t="s">
        <v>148</v>
      </c>
      <c r="E96" s="22" t="s">
        <v>147</v>
      </c>
      <c r="F96" s="73">
        <f>VLOOKUP(E96,Sheet2!$H$2:$I$30,2,0)</f>
        <v>174000</v>
      </c>
      <c r="G96" s="63" t="s">
        <v>149</v>
      </c>
      <c r="H96" s="7">
        <v>235</v>
      </c>
      <c r="I96" s="14">
        <f t="shared" ref="I96:I97" si="40">H96*F96</f>
        <v>40890000</v>
      </c>
      <c r="J96" s="59"/>
      <c r="K96" s="7">
        <v>5</v>
      </c>
      <c r="L96" s="14">
        <f t="shared" ref="L96:L97" si="41">K96*I96%</f>
        <v>2044500</v>
      </c>
      <c r="M96" s="7"/>
      <c r="N96" s="9"/>
    </row>
    <row r="97" spans="3:14">
      <c r="C97" s="5">
        <f t="shared" si="33"/>
        <v>95</v>
      </c>
      <c r="D97" s="70" t="s">
        <v>148</v>
      </c>
      <c r="E97" s="22" t="s">
        <v>147</v>
      </c>
      <c r="F97" s="73">
        <f>VLOOKUP(E97,Sheet2!$H$2:$I$30,2,0)</f>
        <v>174000</v>
      </c>
      <c r="G97" s="63" t="s">
        <v>150</v>
      </c>
      <c r="H97" s="7">
        <v>330</v>
      </c>
      <c r="I97" s="14">
        <f t="shared" si="40"/>
        <v>57420000</v>
      </c>
      <c r="J97" s="59"/>
      <c r="K97" s="7">
        <v>5</v>
      </c>
      <c r="L97" s="14">
        <f t="shared" si="41"/>
        <v>2871000</v>
      </c>
      <c r="M97" s="7"/>
      <c r="N97" s="9"/>
    </row>
    <row r="98" spans="3:14">
      <c r="C98" s="5">
        <f t="shared" si="33"/>
        <v>96</v>
      </c>
      <c r="D98" s="70" t="s">
        <v>148</v>
      </c>
      <c r="E98" s="22" t="s">
        <v>147</v>
      </c>
      <c r="F98" s="73">
        <f>VLOOKUP(E98,Sheet2!$H$2:$I$30,2,0)</f>
        <v>174000</v>
      </c>
      <c r="G98" s="63" t="s">
        <v>151</v>
      </c>
      <c r="H98" s="7">
        <v>180</v>
      </c>
      <c r="I98" s="14">
        <f t="shared" ref="I98:I102" si="42">H98*F98</f>
        <v>31320000</v>
      </c>
      <c r="J98" s="59"/>
      <c r="K98" s="7">
        <v>5</v>
      </c>
      <c r="L98" s="14">
        <f t="shared" ref="L98:L115" si="43">K98*I98%</f>
        <v>1566000</v>
      </c>
      <c r="M98" s="7"/>
      <c r="N98" s="9"/>
    </row>
    <row r="99" spans="3:14">
      <c r="C99" s="5">
        <f t="shared" si="33"/>
        <v>97</v>
      </c>
      <c r="D99" s="77" t="s">
        <v>156</v>
      </c>
      <c r="E99" s="22" t="s">
        <v>9</v>
      </c>
      <c r="F99" s="32">
        <v>3435000</v>
      </c>
      <c r="G99" s="76" t="s">
        <v>154</v>
      </c>
      <c r="H99" s="7">
        <v>6</v>
      </c>
      <c r="I99" s="14">
        <f t="shared" si="42"/>
        <v>20610000</v>
      </c>
      <c r="J99" s="59"/>
      <c r="K99" s="7">
        <v>8</v>
      </c>
      <c r="L99" s="14">
        <f t="shared" si="43"/>
        <v>1648800</v>
      </c>
      <c r="M99" s="7"/>
      <c r="N99" s="9"/>
    </row>
    <row r="100" spans="3:14">
      <c r="C100" s="5">
        <f t="shared" si="33"/>
        <v>98</v>
      </c>
      <c r="D100" s="41" t="s">
        <v>156</v>
      </c>
      <c r="E100" s="22" t="s">
        <v>12</v>
      </c>
      <c r="F100" s="32">
        <v>108000</v>
      </c>
      <c r="G100" s="76" t="s">
        <v>155</v>
      </c>
      <c r="H100" s="70">
        <v>9</v>
      </c>
      <c r="I100" s="14">
        <f t="shared" si="42"/>
        <v>972000</v>
      </c>
      <c r="J100" s="59"/>
      <c r="K100" s="7">
        <v>8</v>
      </c>
      <c r="L100" s="14">
        <f t="shared" si="43"/>
        <v>77760</v>
      </c>
      <c r="M100" s="7"/>
      <c r="N100" s="9"/>
    </row>
    <row r="101" spans="3:14">
      <c r="C101" s="5">
        <f t="shared" ref="C101:C128" si="44">ROW()-2</f>
        <v>99</v>
      </c>
      <c r="D101" s="41" t="s">
        <v>156</v>
      </c>
      <c r="E101" s="22" t="s">
        <v>12</v>
      </c>
      <c r="F101" s="32">
        <v>108000</v>
      </c>
      <c r="G101" s="76" t="s">
        <v>157</v>
      </c>
      <c r="H101" s="70">
        <v>9</v>
      </c>
      <c r="I101" s="14">
        <f t="shared" si="42"/>
        <v>972000</v>
      </c>
      <c r="J101" s="59"/>
      <c r="K101" s="7">
        <v>8</v>
      </c>
      <c r="L101" s="14">
        <f t="shared" si="43"/>
        <v>77760</v>
      </c>
      <c r="M101" s="7"/>
      <c r="N101" s="9"/>
    </row>
    <row r="102" spans="3:14">
      <c r="C102" s="5">
        <f t="shared" si="44"/>
        <v>100</v>
      </c>
      <c r="D102" s="41" t="s">
        <v>156</v>
      </c>
      <c r="E102" s="22" t="s">
        <v>27</v>
      </c>
      <c r="F102" s="32">
        <v>978000</v>
      </c>
      <c r="G102" s="76" t="s">
        <v>158</v>
      </c>
      <c r="H102" s="7">
        <v>5</v>
      </c>
      <c r="I102" s="14">
        <f t="shared" si="42"/>
        <v>4890000</v>
      </c>
      <c r="J102" s="59"/>
      <c r="K102" s="7">
        <v>8</v>
      </c>
      <c r="L102" s="14">
        <f t="shared" si="43"/>
        <v>391200</v>
      </c>
      <c r="M102" s="7"/>
      <c r="N102" s="9"/>
    </row>
    <row r="103" spans="3:14">
      <c r="C103" s="5">
        <f t="shared" si="44"/>
        <v>101</v>
      </c>
      <c r="D103" s="41" t="s">
        <v>156</v>
      </c>
      <c r="E103" s="22" t="s">
        <v>56</v>
      </c>
      <c r="F103" s="32">
        <v>978000</v>
      </c>
      <c r="G103" s="78" t="s">
        <v>159</v>
      </c>
      <c r="H103" s="7">
        <v>1</v>
      </c>
      <c r="I103" s="14">
        <f>H103*F103</f>
        <v>978000</v>
      </c>
      <c r="J103" s="59"/>
      <c r="K103" s="7">
        <v>8</v>
      </c>
      <c r="L103" s="14">
        <f t="shared" si="43"/>
        <v>78240</v>
      </c>
      <c r="M103" s="7"/>
      <c r="N103" s="9"/>
    </row>
    <row r="104" spans="3:14">
      <c r="C104" s="5">
        <f t="shared" si="44"/>
        <v>102</v>
      </c>
      <c r="D104" s="65" t="s">
        <v>156</v>
      </c>
      <c r="E104" s="66" t="s">
        <v>34</v>
      </c>
      <c r="F104" s="67">
        <v>3105000</v>
      </c>
      <c r="G104" s="66" t="s">
        <v>153</v>
      </c>
      <c r="H104" s="65">
        <v>20</v>
      </c>
      <c r="I104" s="68">
        <f>H104*F104</f>
        <v>62100000</v>
      </c>
      <c r="J104" s="69"/>
      <c r="K104" s="65">
        <v>8</v>
      </c>
      <c r="L104" s="68">
        <f t="shared" si="43"/>
        <v>4968000</v>
      </c>
      <c r="M104" s="7"/>
      <c r="N104" s="9"/>
    </row>
    <row r="105" spans="3:14">
      <c r="C105" s="5">
        <f t="shared" si="44"/>
        <v>103</v>
      </c>
      <c r="D105" s="41" t="s">
        <v>156</v>
      </c>
      <c r="E105" s="22" t="s">
        <v>29</v>
      </c>
      <c r="F105" s="73">
        <f>VLOOKUP(E105,Sheet2!$H$2:$I$30,2,0)</f>
        <v>57000</v>
      </c>
      <c r="G105" s="76" t="s">
        <v>160</v>
      </c>
      <c r="H105" s="7">
        <v>50</v>
      </c>
      <c r="I105" s="14">
        <f t="shared" ref="I105:I128" si="45">H105*F105</f>
        <v>2850000</v>
      </c>
      <c r="J105" s="59"/>
      <c r="K105" s="7">
        <v>8</v>
      </c>
      <c r="L105" s="14">
        <f t="shared" si="43"/>
        <v>228000</v>
      </c>
      <c r="M105" s="7"/>
      <c r="N105" s="9"/>
    </row>
    <row r="106" spans="3:14">
      <c r="C106" s="5">
        <f t="shared" si="44"/>
        <v>104</v>
      </c>
      <c r="D106" s="41" t="s">
        <v>156</v>
      </c>
      <c r="E106" s="22" t="s">
        <v>29</v>
      </c>
      <c r="F106" s="73">
        <f>VLOOKUP(E106,Sheet2!$H$2:$I$30,2,0)</f>
        <v>57000</v>
      </c>
      <c r="G106" s="76" t="s">
        <v>161</v>
      </c>
      <c r="H106" s="7">
        <v>50</v>
      </c>
      <c r="I106" s="14">
        <f t="shared" si="45"/>
        <v>2850000</v>
      </c>
      <c r="J106" s="59"/>
      <c r="K106" s="7">
        <v>8</v>
      </c>
      <c r="L106" s="14">
        <f t="shared" ref="L106" si="46">K106*I106%</f>
        <v>228000</v>
      </c>
      <c r="M106" s="7"/>
      <c r="N106" s="9"/>
    </row>
    <row r="107" spans="3:14">
      <c r="C107" s="5">
        <f t="shared" si="44"/>
        <v>105</v>
      </c>
      <c r="D107" s="41" t="s">
        <v>156</v>
      </c>
      <c r="E107" s="22" t="s">
        <v>73</v>
      </c>
      <c r="F107" s="73">
        <f>VLOOKUP(E107,Sheet2!$H$2:$I$30,2,0)</f>
        <v>714000</v>
      </c>
      <c r="G107" s="76" t="s">
        <v>162</v>
      </c>
      <c r="H107" s="7">
        <v>50</v>
      </c>
      <c r="I107" s="14">
        <f t="shared" si="45"/>
        <v>35700000</v>
      </c>
      <c r="J107" s="59"/>
      <c r="K107" s="7">
        <v>8</v>
      </c>
      <c r="L107" s="14">
        <f t="shared" si="43"/>
        <v>2856000</v>
      </c>
      <c r="M107" s="7"/>
      <c r="N107" s="9"/>
    </row>
    <row r="108" spans="3:14">
      <c r="C108" s="5">
        <f t="shared" si="44"/>
        <v>106</v>
      </c>
      <c r="D108" s="41" t="s">
        <v>156</v>
      </c>
      <c r="E108" s="22" t="s">
        <v>73</v>
      </c>
      <c r="F108" s="73">
        <f>VLOOKUP(E108,Sheet2!$H$2:$I$30,2,0)</f>
        <v>714000</v>
      </c>
      <c r="G108" s="76" t="s">
        <v>163</v>
      </c>
      <c r="H108" s="7">
        <v>50</v>
      </c>
      <c r="I108" s="14">
        <f>H108*F108</f>
        <v>35700000</v>
      </c>
      <c r="J108" s="59"/>
      <c r="K108" s="7">
        <v>8</v>
      </c>
      <c r="L108" s="14">
        <f t="shared" ref="L108" si="47">K108*I108%</f>
        <v>2856000</v>
      </c>
      <c r="M108" s="7"/>
      <c r="N108" s="9"/>
    </row>
    <row r="109" spans="3:14">
      <c r="C109" s="5">
        <f t="shared" si="44"/>
        <v>107</v>
      </c>
      <c r="D109" s="41" t="s">
        <v>156</v>
      </c>
      <c r="E109" s="22" t="s">
        <v>74</v>
      </c>
      <c r="F109" s="73">
        <f>VLOOKUP(E109,Sheet2!$H$2:$I$30,2,0)</f>
        <v>284000</v>
      </c>
      <c r="G109" s="76" t="s">
        <v>164</v>
      </c>
      <c r="H109" s="7">
        <v>30</v>
      </c>
      <c r="I109" s="14">
        <f t="shared" si="45"/>
        <v>8520000</v>
      </c>
      <c r="J109" s="59"/>
      <c r="K109" s="7">
        <v>8</v>
      </c>
      <c r="L109" s="14">
        <f t="shared" si="43"/>
        <v>681600</v>
      </c>
      <c r="M109" s="7"/>
      <c r="N109" s="9"/>
    </row>
    <row r="110" spans="3:14">
      <c r="C110" s="5">
        <f t="shared" si="44"/>
        <v>108</v>
      </c>
      <c r="D110" s="41" t="s">
        <v>156</v>
      </c>
      <c r="E110" s="22" t="s">
        <v>74</v>
      </c>
      <c r="F110" s="73">
        <f>VLOOKUP(E110,Sheet2!$H$2:$I$30,2,0)</f>
        <v>284000</v>
      </c>
      <c r="G110" s="76" t="s">
        <v>165</v>
      </c>
      <c r="H110" s="7">
        <v>50</v>
      </c>
      <c r="I110" s="14">
        <f t="shared" ref="I110" si="48">H110*F110</f>
        <v>14200000</v>
      </c>
      <c r="J110" s="59"/>
      <c r="K110" s="7">
        <v>8</v>
      </c>
      <c r="L110" s="14">
        <f t="shared" ref="L110" si="49">K110*I110%</f>
        <v>1136000</v>
      </c>
      <c r="M110" s="7"/>
      <c r="N110" s="9"/>
    </row>
    <row r="111" spans="3:14">
      <c r="C111" s="5">
        <f t="shared" si="44"/>
        <v>109</v>
      </c>
      <c r="D111" s="41" t="s">
        <v>156</v>
      </c>
      <c r="E111" s="22" t="s">
        <v>77</v>
      </c>
      <c r="F111" s="73">
        <f>VLOOKUP(E111,Sheet2!$H$2:$I$30,2,0)</f>
        <v>284000</v>
      </c>
      <c r="G111" s="76" t="s">
        <v>166</v>
      </c>
      <c r="H111" s="7">
        <v>50</v>
      </c>
      <c r="I111" s="14">
        <f t="shared" si="45"/>
        <v>14200000</v>
      </c>
      <c r="J111" s="59"/>
      <c r="K111" s="7">
        <v>8</v>
      </c>
      <c r="L111" s="14">
        <f t="shared" si="43"/>
        <v>1136000</v>
      </c>
      <c r="M111" s="7"/>
      <c r="N111" s="9"/>
    </row>
    <row r="112" spans="3:14">
      <c r="C112" s="5">
        <f t="shared" si="44"/>
        <v>110</v>
      </c>
      <c r="D112" s="41" t="s">
        <v>156</v>
      </c>
      <c r="E112" s="22" t="s">
        <v>77</v>
      </c>
      <c r="F112" s="73">
        <f>VLOOKUP(E112,Sheet2!$H$2:$I$30,2,0)</f>
        <v>284000</v>
      </c>
      <c r="G112" s="76" t="s">
        <v>167</v>
      </c>
      <c r="H112" s="7">
        <v>50</v>
      </c>
      <c r="I112" s="14">
        <f t="shared" ref="I112" si="50">H112*F112</f>
        <v>14200000</v>
      </c>
      <c r="J112" s="59"/>
      <c r="K112" s="7">
        <v>8</v>
      </c>
      <c r="L112" s="14">
        <f t="shared" ref="L112" si="51">K112*I112%</f>
        <v>1136000</v>
      </c>
      <c r="M112" s="7"/>
      <c r="N112" s="9"/>
    </row>
    <row r="113" spans="3:14">
      <c r="C113" s="5">
        <f t="shared" si="44"/>
        <v>111</v>
      </c>
      <c r="D113" s="41" t="s">
        <v>156</v>
      </c>
      <c r="E113" s="22" t="s">
        <v>79</v>
      </c>
      <c r="F113" s="73">
        <f>VLOOKUP(E113,Sheet2!$H$2:$I$30,2,0)</f>
        <v>293000</v>
      </c>
      <c r="G113" s="76" t="s">
        <v>168</v>
      </c>
      <c r="H113" s="7">
        <v>30</v>
      </c>
      <c r="I113" s="14">
        <f t="shared" si="45"/>
        <v>8790000</v>
      </c>
      <c r="J113" s="59"/>
      <c r="K113" s="7">
        <v>8</v>
      </c>
      <c r="L113" s="14">
        <f t="shared" si="43"/>
        <v>703200</v>
      </c>
      <c r="M113" s="7"/>
      <c r="N113" s="9"/>
    </row>
    <row r="114" spans="3:14">
      <c r="C114" s="5">
        <f t="shared" si="44"/>
        <v>112</v>
      </c>
      <c r="D114" s="41" t="s">
        <v>156</v>
      </c>
      <c r="E114" s="22" t="s">
        <v>80</v>
      </c>
      <c r="F114" s="73">
        <f>VLOOKUP(E114,Sheet2!$H$2:$I$30,2,0)</f>
        <v>360000</v>
      </c>
      <c r="G114" s="76" t="s">
        <v>169</v>
      </c>
      <c r="H114" s="7">
        <v>30</v>
      </c>
      <c r="I114" s="14">
        <f t="shared" si="45"/>
        <v>10800000</v>
      </c>
      <c r="J114" s="59"/>
      <c r="K114" s="7">
        <v>8</v>
      </c>
      <c r="L114" s="14">
        <f t="shared" si="43"/>
        <v>864000</v>
      </c>
      <c r="M114" s="7"/>
      <c r="N114" s="9"/>
    </row>
    <row r="115" spans="3:14">
      <c r="C115" s="5">
        <f t="shared" si="44"/>
        <v>113</v>
      </c>
      <c r="D115" s="41" t="s">
        <v>156</v>
      </c>
      <c r="E115" s="22" t="s">
        <v>72</v>
      </c>
      <c r="F115" s="73">
        <f>VLOOKUP(E115,Sheet2!$H$2:$I$30,2,0)</f>
        <v>246000</v>
      </c>
      <c r="G115" s="76" t="s">
        <v>170</v>
      </c>
      <c r="H115" s="7">
        <v>50</v>
      </c>
      <c r="I115" s="14">
        <f t="shared" si="45"/>
        <v>12300000</v>
      </c>
      <c r="J115" s="59"/>
      <c r="K115" s="7">
        <v>8</v>
      </c>
      <c r="L115" s="14">
        <f t="shared" si="43"/>
        <v>984000</v>
      </c>
      <c r="M115" s="7"/>
      <c r="N115" s="9"/>
    </row>
    <row r="116" spans="3:14">
      <c r="C116" s="5">
        <f t="shared" si="44"/>
        <v>114</v>
      </c>
      <c r="D116" s="41" t="s">
        <v>184</v>
      </c>
      <c r="E116" s="22" t="s">
        <v>9</v>
      </c>
      <c r="F116" s="73">
        <v>3435000</v>
      </c>
      <c r="G116" s="76" t="s">
        <v>171</v>
      </c>
      <c r="H116" s="7">
        <v>6</v>
      </c>
      <c r="I116" s="14">
        <f t="shared" si="45"/>
        <v>20610000</v>
      </c>
      <c r="J116" s="59"/>
      <c r="K116" s="7">
        <v>8</v>
      </c>
      <c r="L116" s="14">
        <f t="shared" ref="L116:L128" si="52">K116*I116%</f>
        <v>1648800</v>
      </c>
      <c r="M116" s="7"/>
      <c r="N116" s="9"/>
    </row>
    <row r="117" spans="3:14">
      <c r="C117" s="5">
        <f t="shared" si="44"/>
        <v>115</v>
      </c>
      <c r="D117" s="41" t="s">
        <v>184</v>
      </c>
      <c r="E117" s="22" t="s">
        <v>12</v>
      </c>
      <c r="F117" s="73">
        <v>108000</v>
      </c>
      <c r="G117" s="76" t="s">
        <v>172</v>
      </c>
      <c r="H117" s="7">
        <v>36</v>
      </c>
      <c r="I117" s="14">
        <f t="shared" si="45"/>
        <v>3888000</v>
      </c>
      <c r="J117" s="59"/>
      <c r="K117" s="7">
        <v>8</v>
      </c>
      <c r="L117" s="14">
        <f t="shared" si="52"/>
        <v>311040</v>
      </c>
      <c r="M117" s="7"/>
      <c r="N117" s="9"/>
    </row>
    <row r="118" spans="3:14">
      <c r="C118" s="5">
        <f t="shared" si="44"/>
        <v>116</v>
      </c>
      <c r="D118" s="41" t="s">
        <v>184</v>
      </c>
      <c r="E118" s="22" t="s">
        <v>27</v>
      </c>
      <c r="F118" s="73">
        <v>978000</v>
      </c>
      <c r="G118" s="76" t="s">
        <v>173</v>
      </c>
      <c r="H118" s="7">
        <v>2</v>
      </c>
      <c r="I118" s="14">
        <f t="shared" si="45"/>
        <v>1956000</v>
      </c>
      <c r="J118" s="59"/>
      <c r="K118" s="7">
        <v>8</v>
      </c>
      <c r="L118" s="14">
        <f t="shared" si="52"/>
        <v>156480</v>
      </c>
      <c r="M118" s="7"/>
      <c r="N118" s="9"/>
    </row>
    <row r="119" spans="3:14">
      <c r="C119" s="5">
        <f t="shared" si="44"/>
        <v>117</v>
      </c>
      <c r="D119" s="41" t="s">
        <v>184</v>
      </c>
      <c r="E119" s="22" t="s">
        <v>34</v>
      </c>
      <c r="F119" s="73">
        <v>3105000</v>
      </c>
      <c r="G119" s="76" t="s">
        <v>174</v>
      </c>
      <c r="H119" s="7">
        <v>6</v>
      </c>
      <c r="I119" s="14">
        <f t="shared" si="45"/>
        <v>18630000</v>
      </c>
      <c r="J119" s="59"/>
      <c r="K119" s="7">
        <v>8</v>
      </c>
      <c r="L119" s="14">
        <f t="shared" si="52"/>
        <v>1490400</v>
      </c>
      <c r="M119" s="7"/>
      <c r="N119" s="9"/>
    </row>
    <row r="120" spans="3:14">
      <c r="C120" s="5">
        <f t="shared" si="44"/>
        <v>118</v>
      </c>
      <c r="D120" s="41" t="s">
        <v>184</v>
      </c>
      <c r="E120" s="22" t="s">
        <v>15</v>
      </c>
      <c r="F120" s="73">
        <v>189000</v>
      </c>
      <c r="G120" s="76" t="s">
        <v>175</v>
      </c>
      <c r="H120" s="7">
        <v>50</v>
      </c>
      <c r="I120" s="14">
        <f t="shared" si="45"/>
        <v>9450000</v>
      </c>
      <c r="J120" s="59"/>
      <c r="K120" s="7">
        <v>8</v>
      </c>
      <c r="L120" s="14">
        <f t="shared" si="52"/>
        <v>756000</v>
      </c>
      <c r="M120" s="7"/>
      <c r="N120" s="9"/>
    </row>
    <row r="121" spans="3:14">
      <c r="C121" s="5">
        <f t="shared" si="44"/>
        <v>119</v>
      </c>
      <c r="D121" s="41" t="s">
        <v>184</v>
      </c>
      <c r="E121" s="22" t="s">
        <v>21</v>
      </c>
      <c r="F121" s="73">
        <v>66000</v>
      </c>
      <c r="G121" s="76" t="s">
        <v>176</v>
      </c>
      <c r="H121" s="7">
        <v>100</v>
      </c>
      <c r="I121" s="14">
        <f t="shared" si="45"/>
        <v>6600000</v>
      </c>
      <c r="J121" s="59"/>
      <c r="K121" s="7">
        <v>8</v>
      </c>
      <c r="L121" s="14">
        <f t="shared" si="52"/>
        <v>528000</v>
      </c>
      <c r="M121" s="7"/>
      <c r="N121" s="9"/>
    </row>
    <row r="122" spans="3:14">
      <c r="C122" s="5">
        <f t="shared" si="44"/>
        <v>120</v>
      </c>
      <c r="D122" s="41" t="s">
        <v>184</v>
      </c>
      <c r="E122" s="22" t="s">
        <v>29</v>
      </c>
      <c r="F122" s="73">
        <v>57000</v>
      </c>
      <c r="G122" s="76" t="s">
        <v>177</v>
      </c>
      <c r="H122" s="7">
        <v>50</v>
      </c>
      <c r="I122" s="14">
        <f t="shared" si="45"/>
        <v>2850000</v>
      </c>
      <c r="J122" s="59"/>
      <c r="K122" s="7">
        <v>8</v>
      </c>
      <c r="L122" s="14">
        <f t="shared" si="52"/>
        <v>228000</v>
      </c>
      <c r="M122" s="7"/>
      <c r="N122" s="9"/>
    </row>
    <row r="123" spans="3:14">
      <c r="C123" s="5">
        <f t="shared" si="44"/>
        <v>121</v>
      </c>
      <c r="D123" s="41" t="s">
        <v>184</v>
      </c>
      <c r="E123" s="22" t="s">
        <v>73</v>
      </c>
      <c r="F123" s="73">
        <v>714000</v>
      </c>
      <c r="G123" s="76" t="s">
        <v>178</v>
      </c>
      <c r="H123" s="7">
        <v>10</v>
      </c>
      <c r="I123" s="14">
        <f t="shared" si="45"/>
        <v>7140000</v>
      </c>
      <c r="J123" s="59"/>
      <c r="K123" s="7">
        <v>8</v>
      </c>
      <c r="L123" s="14">
        <f t="shared" si="52"/>
        <v>571200</v>
      </c>
      <c r="M123" s="7"/>
      <c r="N123" s="9"/>
    </row>
    <row r="124" spans="3:14">
      <c r="C124" s="5">
        <f t="shared" si="44"/>
        <v>122</v>
      </c>
      <c r="D124" s="41" t="s">
        <v>184</v>
      </c>
      <c r="E124" s="22" t="s">
        <v>74</v>
      </c>
      <c r="F124" s="73">
        <v>284000</v>
      </c>
      <c r="G124" s="76" t="s">
        <v>179</v>
      </c>
      <c r="H124" s="7">
        <v>10</v>
      </c>
      <c r="I124" s="14">
        <f t="shared" si="45"/>
        <v>2840000</v>
      </c>
      <c r="J124" s="59"/>
      <c r="K124" s="7">
        <v>8</v>
      </c>
      <c r="L124" s="14">
        <f t="shared" si="52"/>
        <v>227200</v>
      </c>
      <c r="M124" s="7"/>
      <c r="N124" s="9"/>
    </row>
    <row r="125" spans="3:14">
      <c r="C125" s="5">
        <f t="shared" si="44"/>
        <v>123</v>
      </c>
      <c r="D125" s="41" t="s">
        <v>184</v>
      </c>
      <c r="E125" s="22" t="s">
        <v>77</v>
      </c>
      <c r="F125" s="73">
        <v>284000</v>
      </c>
      <c r="G125" s="76" t="s">
        <v>180</v>
      </c>
      <c r="H125" s="7">
        <v>10</v>
      </c>
      <c r="I125" s="14">
        <f t="shared" si="45"/>
        <v>2840000</v>
      </c>
      <c r="J125" s="59"/>
      <c r="K125" s="7">
        <v>8</v>
      </c>
      <c r="L125" s="14">
        <f t="shared" si="52"/>
        <v>227200</v>
      </c>
      <c r="M125" s="7"/>
      <c r="N125" s="9"/>
    </row>
    <row r="126" spans="3:14">
      <c r="C126" s="5">
        <f t="shared" si="44"/>
        <v>124</v>
      </c>
      <c r="D126" s="41" t="s">
        <v>184</v>
      </c>
      <c r="E126" s="22" t="s">
        <v>79</v>
      </c>
      <c r="F126" s="73">
        <v>293000</v>
      </c>
      <c r="G126" s="76" t="s">
        <v>181</v>
      </c>
      <c r="H126" s="7">
        <v>30</v>
      </c>
      <c r="I126" s="14">
        <f t="shared" si="45"/>
        <v>8790000</v>
      </c>
      <c r="J126" s="59"/>
      <c r="K126" s="7">
        <v>8</v>
      </c>
      <c r="L126" s="14">
        <f t="shared" si="52"/>
        <v>703200</v>
      </c>
      <c r="M126" s="7"/>
      <c r="N126" s="9"/>
    </row>
    <row r="127" spans="3:14">
      <c r="C127" s="5">
        <f t="shared" si="44"/>
        <v>125</v>
      </c>
      <c r="D127" s="41" t="s">
        <v>184</v>
      </c>
      <c r="E127" s="22" t="s">
        <v>80</v>
      </c>
      <c r="F127" s="73">
        <v>360000</v>
      </c>
      <c r="G127" s="76" t="s">
        <v>182</v>
      </c>
      <c r="H127" s="7">
        <v>30</v>
      </c>
      <c r="I127" s="14">
        <f t="shared" si="45"/>
        <v>10800000</v>
      </c>
      <c r="J127" s="59"/>
      <c r="K127" s="7">
        <v>8</v>
      </c>
      <c r="L127" s="14">
        <f t="shared" si="52"/>
        <v>864000</v>
      </c>
      <c r="M127" s="7"/>
      <c r="N127" s="9"/>
    </row>
    <row r="128" spans="3:14">
      <c r="C128" s="5">
        <f t="shared" si="44"/>
        <v>126</v>
      </c>
      <c r="D128" s="41" t="s">
        <v>184</v>
      </c>
      <c r="E128" s="22" t="s">
        <v>72</v>
      </c>
      <c r="F128" s="73">
        <v>246000</v>
      </c>
      <c r="G128" s="76" t="s">
        <v>183</v>
      </c>
      <c r="H128" s="7">
        <v>30</v>
      </c>
      <c r="I128" s="14">
        <f t="shared" si="45"/>
        <v>7380000</v>
      </c>
      <c r="J128" s="59"/>
      <c r="K128" s="7">
        <v>8</v>
      </c>
      <c r="L128" s="14">
        <f t="shared" si="52"/>
        <v>590400</v>
      </c>
      <c r="M128" s="7"/>
      <c r="N128" s="9"/>
    </row>
    <row r="129" spans="4:12">
      <c r="D129" s="81" t="s">
        <v>201</v>
      </c>
      <c r="E129" s="6" t="s">
        <v>9</v>
      </c>
      <c r="F129" s="72">
        <f>VLOOKUP(E129,Sheet1!$E$3:$F$95,2,0)</f>
        <v>3435000</v>
      </c>
      <c r="G129" s="80" t="s">
        <v>185</v>
      </c>
      <c r="H129" s="2">
        <v>10</v>
      </c>
      <c r="I129" s="14">
        <f t="shared" ref="I129:I144" si="53">H129*F129</f>
        <v>34350000</v>
      </c>
      <c r="J129" s="59"/>
      <c r="K129" s="7">
        <v>8</v>
      </c>
      <c r="L129" s="14">
        <f t="shared" ref="L129:L144" si="54">K129*I129%</f>
        <v>2748000</v>
      </c>
    </row>
    <row r="130" spans="4:12">
      <c r="D130" s="81" t="s">
        <v>201</v>
      </c>
      <c r="E130" s="6" t="s">
        <v>9</v>
      </c>
      <c r="F130" s="72">
        <f>VLOOKUP(E130,Sheet1!$E$3:$F$95,2,0)</f>
        <v>3435000</v>
      </c>
      <c r="G130" s="80" t="s">
        <v>186</v>
      </c>
      <c r="H130" s="2">
        <v>10</v>
      </c>
      <c r="I130" s="14">
        <f t="shared" si="53"/>
        <v>34350000</v>
      </c>
      <c r="J130" s="59"/>
      <c r="K130" s="7">
        <v>8</v>
      </c>
      <c r="L130" s="14">
        <f t="shared" si="54"/>
        <v>2748000</v>
      </c>
    </row>
    <row r="131" spans="4:12">
      <c r="D131" s="81" t="s">
        <v>201</v>
      </c>
      <c r="E131" s="10" t="s">
        <v>12</v>
      </c>
      <c r="F131" s="72">
        <f>VLOOKUP(E131,Sheet1!$E$3:$F$95,2,0)</f>
        <v>108000</v>
      </c>
      <c r="G131" s="80" t="s">
        <v>187</v>
      </c>
      <c r="H131" s="2">
        <v>40</v>
      </c>
      <c r="I131" s="14">
        <f t="shared" si="53"/>
        <v>4320000</v>
      </c>
      <c r="J131" s="59"/>
      <c r="K131" s="7">
        <v>8</v>
      </c>
      <c r="L131" s="14">
        <f t="shared" si="54"/>
        <v>345600</v>
      </c>
    </row>
    <row r="132" spans="4:12">
      <c r="D132" s="81" t="s">
        <v>201</v>
      </c>
      <c r="E132" s="10" t="s">
        <v>12</v>
      </c>
      <c r="F132" s="72">
        <f>VLOOKUP(E132,Sheet1!$E$3:$F$95,2,0)</f>
        <v>108000</v>
      </c>
      <c r="G132" s="80" t="s">
        <v>188</v>
      </c>
      <c r="H132" s="2">
        <v>36</v>
      </c>
      <c r="I132" s="14">
        <f t="shared" si="53"/>
        <v>3888000</v>
      </c>
      <c r="J132" s="59"/>
      <c r="K132" s="7">
        <v>8</v>
      </c>
      <c r="L132" s="14">
        <f t="shared" si="54"/>
        <v>311040</v>
      </c>
    </row>
    <row r="133" spans="4:12">
      <c r="D133" s="81" t="s">
        <v>201</v>
      </c>
      <c r="E133" t="s">
        <v>27</v>
      </c>
      <c r="F133" s="72">
        <f>VLOOKUP(E133,Sheet1!$E$3:$F$95,2,0)</f>
        <v>978000</v>
      </c>
      <c r="G133" s="80" t="s">
        <v>189</v>
      </c>
      <c r="H133" s="2">
        <v>4</v>
      </c>
      <c r="I133" s="14">
        <f t="shared" si="53"/>
        <v>3912000</v>
      </c>
      <c r="J133" s="59"/>
      <c r="K133" s="7">
        <v>8</v>
      </c>
      <c r="L133" s="14">
        <f t="shared" si="54"/>
        <v>312960</v>
      </c>
    </row>
    <row r="134" spans="4:12">
      <c r="D134" s="81" t="s">
        <v>201</v>
      </c>
      <c r="E134" t="s">
        <v>27</v>
      </c>
      <c r="F134" s="72">
        <f>VLOOKUP(E134,Sheet1!$E$3:$F$95,2,0)</f>
        <v>978000</v>
      </c>
      <c r="G134" s="80" t="s">
        <v>190</v>
      </c>
      <c r="H134" s="2">
        <v>4</v>
      </c>
      <c r="I134" s="14">
        <f t="shared" si="53"/>
        <v>3912000</v>
      </c>
      <c r="J134" s="59"/>
      <c r="K134" s="7">
        <v>8</v>
      </c>
      <c r="L134" s="14">
        <f t="shared" si="54"/>
        <v>312960</v>
      </c>
    </row>
    <row r="135" spans="4:12">
      <c r="D135" s="81" t="s">
        <v>201</v>
      </c>
      <c r="E135" t="s">
        <v>56</v>
      </c>
      <c r="F135" s="72">
        <f>VLOOKUP(E135,Sheet1!$E$3:$F$95,2,0)</f>
        <v>978000</v>
      </c>
      <c r="G135" s="80" t="s">
        <v>191</v>
      </c>
      <c r="H135" s="2">
        <v>2</v>
      </c>
      <c r="I135" s="14">
        <f t="shared" si="53"/>
        <v>1956000</v>
      </c>
      <c r="J135" s="59"/>
      <c r="K135" s="7">
        <v>8</v>
      </c>
      <c r="L135" s="14">
        <f t="shared" si="54"/>
        <v>156480</v>
      </c>
    </row>
    <row r="136" spans="4:12">
      <c r="D136" s="81" t="s">
        <v>201</v>
      </c>
      <c r="E136" t="s">
        <v>56</v>
      </c>
      <c r="F136" s="72">
        <f>VLOOKUP(E136,Sheet1!$E$3:$F$95,2,0)</f>
        <v>978000</v>
      </c>
      <c r="G136" s="80" t="s">
        <v>192</v>
      </c>
      <c r="H136" s="2">
        <v>4</v>
      </c>
      <c r="I136" s="14">
        <f t="shared" si="53"/>
        <v>3912000</v>
      </c>
      <c r="J136" s="59"/>
      <c r="K136" s="7">
        <v>8</v>
      </c>
      <c r="L136" s="14">
        <f t="shared" si="54"/>
        <v>312960</v>
      </c>
    </row>
    <row r="137" spans="4:12">
      <c r="D137" s="81" t="s">
        <v>201</v>
      </c>
      <c r="E137" t="s">
        <v>34</v>
      </c>
      <c r="F137" s="72">
        <f>VLOOKUP(E137,Sheet1!$E$3:$F$95,2,0)</f>
        <v>3105000</v>
      </c>
      <c r="G137" s="80" t="s">
        <v>193</v>
      </c>
      <c r="H137" s="2">
        <v>5</v>
      </c>
      <c r="I137" s="14">
        <f t="shared" si="53"/>
        <v>15525000</v>
      </c>
      <c r="J137" s="59"/>
      <c r="K137" s="7">
        <v>8</v>
      </c>
      <c r="L137" s="14">
        <f t="shared" si="54"/>
        <v>1242000</v>
      </c>
    </row>
    <row r="138" spans="4:12">
      <c r="D138" s="81" t="s">
        <v>201</v>
      </c>
      <c r="E138" s="1" t="s">
        <v>15</v>
      </c>
      <c r="F138" s="72">
        <f>VLOOKUP(E138,Sheet1!$E$3:$F$95,2,0)</f>
        <v>189000</v>
      </c>
      <c r="G138" s="80" t="s">
        <v>194</v>
      </c>
      <c r="H138" s="2">
        <v>30</v>
      </c>
      <c r="I138" s="14">
        <f t="shared" si="53"/>
        <v>5670000</v>
      </c>
      <c r="J138" s="59"/>
      <c r="K138" s="7">
        <v>8</v>
      </c>
      <c r="L138" s="14">
        <f t="shared" si="54"/>
        <v>453600</v>
      </c>
    </row>
    <row r="139" spans="4:12">
      <c r="D139" s="81" t="s">
        <v>201</v>
      </c>
      <c r="E139" s="10" t="s">
        <v>21</v>
      </c>
      <c r="F139" s="72">
        <f>VLOOKUP(E139,Sheet1!$E$3:$F$95,2,0)</f>
        <v>66000</v>
      </c>
      <c r="G139" s="80" t="s">
        <v>195</v>
      </c>
      <c r="H139" s="2">
        <v>50</v>
      </c>
      <c r="I139" s="14">
        <f t="shared" si="53"/>
        <v>3300000</v>
      </c>
      <c r="J139" s="59"/>
      <c r="K139" s="7">
        <v>8</v>
      </c>
      <c r="L139" s="14">
        <f t="shared" si="54"/>
        <v>264000</v>
      </c>
    </row>
    <row r="140" spans="4:12">
      <c r="D140" s="81" t="s">
        <v>201</v>
      </c>
      <c r="E140" s="10" t="s">
        <v>21</v>
      </c>
      <c r="F140" s="72">
        <f>VLOOKUP(E140,Sheet1!$E$3:$F$95,2,0)</f>
        <v>66000</v>
      </c>
      <c r="G140" s="80" t="s">
        <v>196</v>
      </c>
      <c r="H140" s="2">
        <v>50</v>
      </c>
      <c r="I140" s="14">
        <f t="shared" si="53"/>
        <v>3300000</v>
      </c>
      <c r="J140" s="59"/>
      <c r="K140" s="7">
        <v>8</v>
      </c>
      <c r="L140" s="14">
        <f t="shared" si="54"/>
        <v>264000</v>
      </c>
    </row>
    <row r="141" spans="4:12">
      <c r="D141" s="81" t="s">
        <v>201</v>
      </c>
      <c r="E141" t="s">
        <v>29</v>
      </c>
      <c r="F141" s="72">
        <f>VLOOKUP(E141,Sheet1!$E$3:$F$95,2,0)</f>
        <v>57000</v>
      </c>
      <c r="G141" t="s">
        <v>197</v>
      </c>
      <c r="H141" s="2">
        <v>10</v>
      </c>
      <c r="I141" s="14">
        <f t="shared" si="53"/>
        <v>570000</v>
      </c>
      <c r="J141" s="59"/>
      <c r="K141" s="7">
        <v>8</v>
      </c>
      <c r="L141" s="14">
        <f t="shared" si="54"/>
        <v>45600</v>
      </c>
    </row>
    <row r="142" spans="4:12">
      <c r="D142" s="81" t="s">
        <v>201</v>
      </c>
      <c r="E142" t="s">
        <v>80</v>
      </c>
      <c r="F142" s="72">
        <f>VLOOKUP(E142,Sheet1!$E$3:$F$95,2,0)</f>
        <v>360000</v>
      </c>
      <c r="G142" t="s">
        <v>198</v>
      </c>
      <c r="H142" s="2">
        <v>20</v>
      </c>
      <c r="I142" s="14">
        <f t="shared" si="53"/>
        <v>7200000</v>
      </c>
      <c r="J142" s="59"/>
      <c r="K142" s="7">
        <v>8</v>
      </c>
      <c r="L142" s="14">
        <f t="shared" si="54"/>
        <v>576000</v>
      </c>
    </row>
    <row r="143" spans="4:12">
      <c r="D143" s="81" t="s">
        <v>201</v>
      </c>
      <c r="E143" t="s">
        <v>86</v>
      </c>
      <c r="F143" s="72">
        <f>VLOOKUP(E143,Sheet1!$E$3:$F$95,2,0)</f>
        <v>628000</v>
      </c>
      <c r="G143" t="s">
        <v>199</v>
      </c>
      <c r="H143" s="2">
        <v>10</v>
      </c>
      <c r="I143" s="14">
        <f t="shared" si="53"/>
        <v>6280000</v>
      </c>
      <c r="J143" s="59"/>
      <c r="K143" s="7">
        <v>8</v>
      </c>
      <c r="L143" s="14">
        <f t="shared" si="54"/>
        <v>502400</v>
      </c>
    </row>
    <row r="144" spans="4:12">
      <c r="D144" s="81" t="s">
        <v>201</v>
      </c>
      <c r="E144" t="s">
        <v>147</v>
      </c>
      <c r="F144" s="74">
        <v>174000</v>
      </c>
      <c r="G144" t="s">
        <v>200</v>
      </c>
      <c r="H144" s="2">
        <v>428</v>
      </c>
      <c r="I144" s="14">
        <f t="shared" si="53"/>
        <v>74472000</v>
      </c>
      <c r="J144" s="59"/>
      <c r="K144" s="7">
        <v>8</v>
      </c>
      <c r="L144" s="14">
        <f t="shared" si="54"/>
        <v>5957760</v>
      </c>
    </row>
    <row r="145" spans="4:12">
      <c r="D145" s="81" t="s">
        <v>215</v>
      </c>
      <c r="E145" s="6" t="s">
        <v>9</v>
      </c>
      <c r="F145" s="72">
        <f>VLOOKUP(E145,Sheet1!$E$3:$F$95,2,0)</f>
        <v>3435000</v>
      </c>
      <c r="G145" t="s">
        <v>202</v>
      </c>
      <c r="H145" s="2">
        <v>10</v>
      </c>
      <c r="I145" s="14">
        <f t="shared" ref="I145:I171" si="55">H145*F145</f>
        <v>34350000</v>
      </c>
      <c r="J145" s="59"/>
      <c r="K145" s="7">
        <v>8</v>
      </c>
      <c r="L145" s="14">
        <f t="shared" ref="L145:L171" si="56">K145*I145%</f>
        <v>2748000</v>
      </c>
    </row>
    <row r="146" spans="4:12">
      <c r="D146" s="81" t="s">
        <v>215</v>
      </c>
      <c r="E146" s="6" t="s">
        <v>9</v>
      </c>
      <c r="F146" s="72">
        <f>VLOOKUP(E146,Sheet1!$E$3:$F$95,2,0)</f>
        <v>3435000</v>
      </c>
      <c r="G146" t="s">
        <v>203</v>
      </c>
      <c r="H146" s="2">
        <v>10</v>
      </c>
      <c r="I146" s="14">
        <f t="shared" si="55"/>
        <v>34350000</v>
      </c>
      <c r="J146" s="59"/>
      <c r="K146" s="7">
        <v>8</v>
      </c>
      <c r="L146" s="14">
        <f t="shared" si="56"/>
        <v>2748000</v>
      </c>
    </row>
    <row r="147" spans="4:12">
      <c r="D147" s="81" t="s">
        <v>215</v>
      </c>
      <c r="E147" s="10" t="s">
        <v>12</v>
      </c>
      <c r="F147" s="72">
        <f>VLOOKUP(E147,Sheet1!$E$3:$F$95,2,0)</f>
        <v>108000</v>
      </c>
      <c r="G147" t="s">
        <v>204</v>
      </c>
      <c r="H147" s="2">
        <v>40</v>
      </c>
      <c r="I147" s="14">
        <f t="shared" si="55"/>
        <v>4320000</v>
      </c>
      <c r="J147" s="59"/>
      <c r="K147" s="7">
        <v>8</v>
      </c>
      <c r="L147" s="14">
        <f t="shared" si="56"/>
        <v>345600</v>
      </c>
    </row>
    <row r="148" spans="4:12">
      <c r="D148" s="81" t="s">
        <v>215</v>
      </c>
      <c r="E148" t="s">
        <v>27</v>
      </c>
      <c r="F148" s="72">
        <f>VLOOKUP(E148,Sheet1!$E$3:$F$95,2,0)</f>
        <v>978000</v>
      </c>
      <c r="G148" t="s">
        <v>205</v>
      </c>
      <c r="H148" s="2">
        <v>6</v>
      </c>
      <c r="I148" s="14">
        <f t="shared" si="55"/>
        <v>5868000</v>
      </c>
      <c r="J148" s="59"/>
      <c r="K148" s="7">
        <v>8</v>
      </c>
      <c r="L148" s="14">
        <f t="shared" si="56"/>
        <v>469440</v>
      </c>
    </row>
    <row r="149" spans="4:12">
      <c r="D149" s="81" t="s">
        <v>215</v>
      </c>
      <c r="E149" t="s">
        <v>27</v>
      </c>
      <c r="F149" s="72">
        <f>VLOOKUP(E149,Sheet1!$E$3:$F$95,2,0)</f>
        <v>978000</v>
      </c>
      <c r="G149" t="s">
        <v>206</v>
      </c>
      <c r="H149" s="2">
        <v>6</v>
      </c>
      <c r="I149" s="14">
        <f t="shared" si="55"/>
        <v>5868000</v>
      </c>
      <c r="J149" s="59"/>
      <c r="K149" s="7">
        <v>8</v>
      </c>
      <c r="L149" s="14">
        <f t="shared" si="56"/>
        <v>469440</v>
      </c>
    </row>
    <row r="150" spans="4:12">
      <c r="D150" s="81" t="s">
        <v>215</v>
      </c>
      <c r="E150" t="s">
        <v>56</v>
      </c>
      <c r="F150" s="72">
        <f>VLOOKUP(E150,Sheet1!$E$3:$F$95,2,0)</f>
        <v>978000</v>
      </c>
      <c r="G150" t="s">
        <v>208</v>
      </c>
      <c r="H150" s="2">
        <v>2</v>
      </c>
      <c r="I150" s="14">
        <f t="shared" si="55"/>
        <v>1956000</v>
      </c>
      <c r="J150" s="59"/>
      <c r="K150" s="7">
        <v>8</v>
      </c>
      <c r="L150" s="14">
        <f t="shared" si="56"/>
        <v>156480</v>
      </c>
    </row>
    <row r="151" spans="4:12">
      <c r="D151" s="81" t="s">
        <v>215</v>
      </c>
      <c r="E151" t="s">
        <v>56</v>
      </c>
      <c r="F151" s="72">
        <f>VLOOKUP(E151,Sheet1!$E$3:$F$95,2,0)</f>
        <v>978000</v>
      </c>
      <c r="G151" t="s">
        <v>209</v>
      </c>
      <c r="H151" s="2">
        <v>6</v>
      </c>
      <c r="I151" s="14">
        <f t="shared" si="55"/>
        <v>5868000</v>
      </c>
      <c r="J151" s="59"/>
      <c r="K151" s="7">
        <v>8</v>
      </c>
      <c r="L151" s="14">
        <f t="shared" si="56"/>
        <v>469440</v>
      </c>
    </row>
    <row r="152" spans="4:12">
      <c r="D152" s="81" t="s">
        <v>215</v>
      </c>
      <c r="E152" t="s">
        <v>34</v>
      </c>
      <c r="F152" s="72">
        <f>VLOOKUP(E152,Sheet1!$E$3:$F$95,2,0)</f>
        <v>3105000</v>
      </c>
      <c r="G152" t="s">
        <v>210</v>
      </c>
      <c r="H152" s="2">
        <v>5</v>
      </c>
      <c r="I152" s="14">
        <f t="shared" si="55"/>
        <v>15525000</v>
      </c>
      <c r="J152" s="59"/>
      <c r="K152" s="7">
        <v>8</v>
      </c>
      <c r="L152" s="14">
        <f t="shared" si="56"/>
        <v>1242000</v>
      </c>
    </row>
    <row r="153" spans="4:12">
      <c r="D153" s="81" t="s">
        <v>215</v>
      </c>
      <c r="E153" t="s">
        <v>34</v>
      </c>
      <c r="F153" s="72">
        <f>VLOOKUP(E153,Sheet1!$E$3:$F$95,2,0)</f>
        <v>3105000</v>
      </c>
      <c r="G153" t="s">
        <v>211</v>
      </c>
      <c r="H153" s="2">
        <v>10</v>
      </c>
      <c r="I153" s="14">
        <f t="shared" si="55"/>
        <v>31050000</v>
      </c>
      <c r="J153" s="59"/>
      <c r="K153" s="7">
        <v>8</v>
      </c>
      <c r="L153" s="14">
        <f t="shared" si="56"/>
        <v>2484000</v>
      </c>
    </row>
    <row r="154" spans="4:12">
      <c r="D154" s="81" t="s">
        <v>215</v>
      </c>
      <c r="E154" t="s">
        <v>34</v>
      </c>
      <c r="F154" s="72">
        <f>VLOOKUP(E154,Sheet1!$E$3:$F$95,2,0)</f>
        <v>3105000</v>
      </c>
      <c r="G154" t="s">
        <v>212</v>
      </c>
      <c r="H154" s="2">
        <v>25</v>
      </c>
      <c r="I154" s="14">
        <f t="shared" si="55"/>
        <v>77625000</v>
      </c>
      <c r="J154" s="59"/>
      <c r="K154" s="7">
        <v>8</v>
      </c>
      <c r="L154" s="14">
        <f t="shared" si="56"/>
        <v>6210000</v>
      </c>
    </row>
    <row r="155" spans="4:12">
      <c r="D155" s="81" t="s">
        <v>215</v>
      </c>
      <c r="E155" t="s">
        <v>34</v>
      </c>
      <c r="F155" s="72">
        <f>VLOOKUP(E155,Sheet1!$E$3:$F$95,2,0)</f>
        <v>3105000</v>
      </c>
      <c r="G155" t="s">
        <v>213</v>
      </c>
      <c r="H155" s="2">
        <v>5</v>
      </c>
      <c r="I155" s="14">
        <f t="shared" si="55"/>
        <v>15525000</v>
      </c>
      <c r="J155" s="59"/>
      <c r="K155" s="7">
        <v>8</v>
      </c>
      <c r="L155" s="14">
        <f t="shared" si="56"/>
        <v>1242000</v>
      </c>
    </row>
    <row r="156" spans="4:12">
      <c r="D156" s="82" t="s">
        <v>215</v>
      </c>
      <c r="E156" s="83" t="s">
        <v>21</v>
      </c>
      <c r="F156" s="72">
        <f>VLOOKUP(E156,Sheet1!$E$3:$F$95,2,0)</f>
        <v>66000</v>
      </c>
      <c r="G156" t="s">
        <v>214</v>
      </c>
      <c r="H156" s="2">
        <v>50</v>
      </c>
      <c r="I156" s="84">
        <f t="shared" si="55"/>
        <v>3300000</v>
      </c>
      <c r="J156" s="85"/>
      <c r="K156" s="86">
        <v>8</v>
      </c>
      <c r="L156" s="84">
        <f t="shared" si="56"/>
        <v>264000</v>
      </c>
    </row>
    <row r="157" spans="4:12">
      <c r="D157" s="90" t="s">
        <v>217</v>
      </c>
      <c r="E157" s="10" t="s">
        <v>9</v>
      </c>
      <c r="F157" s="87">
        <v>3435000</v>
      </c>
      <c r="G157" s="9" t="s">
        <v>216</v>
      </c>
      <c r="H157" s="7">
        <v>10</v>
      </c>
      <c r="I157" s="14">
        <f t="shared" si="55"/>
        <v>34350000</v>
      </c>
      <c r="J157" s="59"/>
      <c r="K157" s="7">
        <v>8</v>
      </c>
      <c r="L157" s="14">
        <f t="shared" si="56"/>
        <v>2748000</v>
      </c>
    </row>
    <row r="158" spans="4:12">
      <c r="D158" s="90" t="s">
        <v>217</v>
      </c>
      <c r="E158" s="10" t="s">
        <v>9</v>
      </c>
      <c r="F158" s="87">
        <v>3435000</v>
      </c>
      <c r="G158" s="9" t="s">
        <v>218</v>
      </c>
      <c r="H158" s="7">
        <v>6</v>
      </c>
      <c r="I158" s="14">
        <f t="shared" si="55"/>
        <v>20610000</v>
      </c>
      <c r="J158" s="59"/>
      <c r="K158" s="7">
        <v>8</v>
      </c>
      <c r="L158" s="14">
        <f t="shared" si="56"/>
        <v>1648800</v>
      </c>
    </row>
    <row r="159" spans="4:12">
      <c r="D159" s="90" t="s">
        <v>217</v>
      </c>
      <c r="E159" s="10" t="s">
        <v>9</v>
      </c>
      <c r="F159" s="87">
        <v>3435000</v>
      </c>
      <c r="G159" s="9" t="s">
        <v>219</v>
      </c>
      <c r="H159" s="7">
        <v>6</v>
      </c>
      <c r="I159" s="14">
        <f t="shared" ref="I159:I161" si="57">H159*F159</f>
        <v>20610000</v>
      </c>
      <c r="J159" s="59"/>
      <c r="K159" s="7">
        <v>8</v>
      </c>
      <c r="L159" s="14">
        <f t="shared" si="56"/>
        <v>1648800</v>
      </c>
    </row>
    <row r="160" spans="4:12">
      <c r="D160" s="90" t="s">
        <v>217</v>
      </c>
      <c r="E160" s="10" t="s">
        <v>9</v>
      </c>
      <c r="F160" s="87">
        <v>3435000</v>
      </c>
      <c r="G160" s="9" t="s">
        <v>220</v>
      </c>
      <c r="H160" s="7">
        <v>34</v>
      </c>
      <c r="I160" s="14">
        <f t="shared" si="57"/>
        <v>116790000</v>
      </c>
      <c r="J160" s="59"/>
      <c r="K160" s="7">
        <v>8</v>
      </c>
      <c r="L160" s="14">
        <f t="shared" si="56"/>
        <v>9343200</v>
      </c>
    </row>
    <row r="161" spans="4:12">
      <c r="D161" s="90" t="s">
        <v>217</v>
      </c>
      <c r="E161" s="10" t="s">
        <v>12</v>
      </c>
      <c r="F161" s="87">
        <v>108000</v>
      </c>
      <c r="G161" s="9" t="s">
        <v>221</v>
      </c>
      <c r="H161" s="7">
        <v>124</v>
      </c>
      <c r="I161" s="14">
        <f t="shared" si="57"/>
        <v>13392000</v>
      </c>
      <c r="J161" s="59"/>
      <c r="K161" s="7">
        <v>8</v>
      </c>
      <c r="L161" s="14">
        <f t="shared" si="56"/>
        <v>1071360</v>
      </c>
    </row>
    <row r="162" spans="4:12">
      <c r="D162" s="90" t="s">
        <v>217</v>
      </c>
      <c r="E162" s="9" t="s">
        <v>27</v>
      </c>
      <c r="F162" s="87">
        <v>978000</v>
      </c>
      <c r="G162" s="9" t="s">
        <v>207</v>
      </c>
      <c r="H162" s="7">
        <v>2</v>
      </c>
      <c r="I162" s="14">
        <f t="shared" si="55"/>
        <v>1956000</v>
      </c>
      <c r="J162" s="59"/>
      <c r="K162" s="7">
        <v>5</v>
      </c>
      <c r="L162" s="14">
        <f t="shared" si="56"/>
        <v>97800</v>
      </c>
    </row>
    <row r="163" spans="4:12">
      <c r="D163" s="90" t="s">
        <v>217</v>
      </c>
      <c r="E163" s="9" t="s">
        <v>27</v>
      </c>
      <c r="F163" s="87">
        <v>978000</v>
      </c>
      <c r="G163" s="9" t="s">
        <v>222</v>
      </c>
      <c r="H163" s="7">
        <v>3</v>
      </c>
      <c r="I163" s="14">
        <f t="shared" si="55"/>
        <v>2934000</v>
      </c>
      <c r="J163" s="59"/>
      <c r="K163" s="7">
        <v>5</v>
      </c>
      <c r="L163" s="14">
        <f t="shared" si="56"/>
        <v>146700</v>
      </c>
    </row>
    <row r="164" spans="4:12">
      <c r="D164" s="90" t="s">
        <v>217</v>
      </c>
      <c r="E164" s="9" t="s">
        <v>56</v>
      </c>
      <c r="F164" s="87">
        <v>978000</v>
      </c>
      <c r="G164" s="91"/>
      <c r="H164" s="7"/>
      <c r="I164" s="14">
        <f t="shared" si="55"/>
        <v>0</v>
      </c>
      <c r="J164" s="59"/>
      <c r="K164" s="7">
        <v>8</v>
      </c>
      <c r="L164" s="14">
        <f t="shared" si="56"/>
        <v>0</v>
      </c>
    </row>
    <row r="165" spans="4:12">
      <c r="D165" s="90" t="s">
        <v>217</v>
      </c>
      <c r="E165" s="9" t="s">
        <v>34</v>
      </c>
      <c r="F165" s="87">
        <v>3105000</v>
      </c>
      <c r="G165" s="9" t="s">
        <v>223</v>
      </c>
      <c r="H165" s="7">
        <v>30</v>
      </c>
      <c r="I165" s="14">
        <f t="shared" si="55"/>
        <v>93150000</v>
      </c>
      <c r="J165" s="59"/>
      <c r="K165" s="7">
        <v>5</v>
      </c>
      <c r="L165" s="14">
        <f t="shared" si="56"/>
        <v>4657500</v>
      </c>
    </row>
    <row r="166" spans="4:12">
      <c r="D166" s="90" t="s">
        <v>217</v>
      </c>
      <c r="E166" s="9" t="s">
        <v>34</v>
      </c>
      <c r="F166" s="87">
        <v>3105000</v>
      </c>
      <c r="G166" s="9" t="s">
        <v>224</v>
      </c>
      <c r="H166" s="7">
        <v>30</v>
      </c>
      <c r="I166" s="14">
        <f t="shared" si="55"/>
        <v>93150000</v>
      </c>
      <c r="J166" s="59"/>
      <c r="K166" s="7">
        <v>5</v>
      </c>
      <c r="L166" s="14">
        <f t="shared" si="56"/>
        <v>4657500</v>
      </c>
    </row>
    <row r="167" spans="4:12">
      <c r="D167" s="90" t="s">
        <v>217</v>
      </c>
      <c r="E167" s="9" t="s">
        <v>34</v>
      </c>
      <c r="F167" s="87">
        <v>3105000</v>
      </c>
      <c r="G167" s="9" t="s">
        <v>225</v>
      </c>
      <c r="H167" s="7">
        <v>45</v>
      </c>
      <c r="I167" s="14">
        <f t="shared" si="55"/>
        <v>139725000</v>
      </c>
      <c r="J167" s="59"/>
      <c r="K167" s="7">
        <v>5</v>
      </c>
      <c r="L167" s="14">
        <f t="shared" si="56"/>
        <v>6986250</v>
      </c>
    </row>
    <row r="168" spans="4:12">
      <c r="D168" s="90" t="s">
        <v>217</v>
      </c>
      <c r="E168" s="9" t="s">
        <v>34</v>
      </c>
      <c r="F168" s="87">
        <v>3105000</v>
      </c>
      <c r="G168" s="9" t="s">
        <v>226</v>
      </c>
      <c r="H168" s="7">
        <v>10</v>
      </c>
      <c r="I168" s="14">
        <f t="shared" ref="I168" si="58">H168*F168</f>
        <v>31050000</v>
      </c>
      <c r="J168" s="59"/>
      <c r="K168" s="7">
        <v>5</v>
      </c>
      <c r="L168" s="14">
        <f t="shared" ref="L168" si="59">K168*I168%</f>
        <v>1552500</v>
      </c>
    </row>
    <row r="169" spans="4:12">
      <c r="D169" s="90" t="s">
        <v>217</v>
      </c>
      <c r="E169" s="9" t="s">
        <v>15</v>
      </c>
      <c r="F169" s="87">
        <v>189000</v>
      </c>
      <c r="G169" s="91" t="s">
        <v>227</v>
      </c>
      <c r="H169" s="7">
        <v>100</v>
      </c>
      <c r="I169" s="14">
        <f t="shared" si="55"/>
        <v>18900000</v>
      </c>
      <c r="J169" s="59"/>
      <c r="K169" s="7">
        <v>8</v>
      </c>
      <c r="L169" s="14">
        <f t="shared" si="56"/>
        <v>1512000</v>
      </c>
    </row>
    <row r="170" spans="4:12">
      <c r="D170" s="90" t="s">
        <v>217</v>
      </c>
      <c r="E170" s="9" t="s">
        <v>15</v>
      </c>
      <c r="F170" s="87">
        <v>189000</v>
      </c>
      <c r="G170" s="91" t="s">
        <v>228</v>
      </c>
      <c r="H170" s="7">
        <v>100</v>
      </c>
      <c r="I170" s="14">
        <f t="shared" ref="I170" si="60">H170*F170</f>
        <v>18900000</v>
      </c>
      <c r="J170" s="59"/>
      <c r="K170" s="7">
        <v>8</v>
      </c>
      <c r="L170" s="14">
        <f t="shared" ref="L170" si="61">K170*I170%</f>
        <v>1512000</v>
      </c>
    </row>
    <row r="171" spans="4:12">
      <c r="D171" s="90" t="s">
        <v>217</v>
      </c>
      <c r="E171" s="9" t="s">
        <v>21</v>
      </c>
      <c r="F171" s="87">
        <v>66000</v>
      </c>
      <c r="G171" s="9" t="s">
        <v>229</v>
      </c>
      <c r="H171" s="7">
        <v>100</v>
      </c>
      <c r="I171" s="14">
        <f t="shared" si="55"/>
        <v>6600000</v>
      </c>
      <c r="J171" s="59"/>
      <c r="K171" s="7">
        <v>8</v>
      </c>
      <c r="L171" s="14">
        <f t="shared" si="56"/>
        <v>528000</v>
      </c>
    </row>
    <row r="172" spans="4:12">
      <c r="D172" s="90" t="s">
        <v>217</v>
      </c>
      <c r="E172" s="9" t="s">
        <v>21</v>
      </c>
      <c r="F172" s="87">
        <v>66000</v>
      </c>
      <c r="G172" s="9" t="s">
        <v>228</v>
      </c>
      <c r="H172" s="7">
        <v>100</v>
      </c>
      <c r="I172" s="14">
        <f t="shared" ref="I172" si="62">H172*F172</f>
        <v>6600000</v>
      </c>
      <c r="J172" s="59"/>
      <c r="K172" s="7">
        <v>8</v>
      </c>
      <c r="L172" s="14">
        <f t="shared" ref="L172" si="63">K172*I172%</f>
        <v>528000</v>
      </c>
    </row>
    <row r="173" spans="4:12">
      <c r="D173" s="90" t="s">
        <v>217</v>
      </c>
      <c r="E173" s="9" t="s">
        <v>147</v>
      </c>
      <c r="F173" s="89">
        <v>174000</v>
      </c>
      <c r="G173" s="9" t="s">
        <v>230</v>
      </c>
      <c r="H173" s="7">
        <v>24</v>
      </c>
      <c r="I173" s="14">
        <f t="shared" ref="I173:I197" si="64">H173*F173</f>
        <v>4176000</v>
      </c>
      <c r="J173" s="59"/>
      <c r="K173" s="7">
        <v>8</v>
      </c>
      <c r="L173" s="14">
        <f t="shared" ref="L173:L197" si="65">K173*I173%</f>
        <v>334080</v>
      </c>
    </row>
    <row r="174" spans="4:12">
      <c r="D174" s="9"/>
      <c r="E174" s="9"/>
      <c r="F174" s="87"/>
      <c r="G174" s="9"/>
      <c r="H174" s="7"/>
      <c r="I174" s="14">
        <f t="shared" si="64"/>
        <v>0</v>
      </c>
      <c r="J174" s="59"/>
      <c r="K174" s="7">
        <v>8</v>
      </c>
      <c r="L174" s="14">
        <f t="shared" si="65"/>
        <v>0</v>
      </c>
    </row>
    <row r="175" spans="4:12">
      <c r="D175" s="9"/>
      <c r="E175" s="9"/>
      <c r="F175" s="87"/>
      <c r="G175" s="9"/>
      <c r="H175" s="7"/>
      <c r="I175" s="14">
        <f t="shared" si="64"/>
        <v>0</v>
      </c>
      <c r="J175" s="59"/>
      <c r="K175" s="7">
        <v>8</v>
      </c>
      <c r="L175" s="14">
        <f t="shared" si="65"/>
        <v>0</v>
      </c>
    </row>
    <row r="176" spans="4:12">
      <c r="D176" s="9"/>
      <c r="E176" s="9"/>
      <c r="F176" s="87"/>
      <c r="G176" s="9"/>
      <c r="H176" s="7"/>
      <c r="I176" s="14">
        <f t="shared" si="64"/>
        <v>0</v>
      </c>
      <c r="J176" s="59"/>
      <c r="K176" s="7">
        <v>8</v>
      </c>
      <c r="L176" s="14">
        <f t="shared" si="65"/>
        <v>0</v>
      </c>
    </row>
    <row r="177" spans="4:12">
      <c r="D177" s="9"/>
      <c r="E177" s="9"/>
      <c r="F177" s="87"/>
      <c r="G177" s="9"/>
      <c r="H177" s="7"/>
      <c r="I177" s="14">
        <f t="shared" si="64"/>
        <v>0</v>
      </c>
      <c r="J177" s="59"/>
      <c r="K177" s="7">
        <v>8</v>
      </c>
      <c r="L177" s="14">
        <f t="shared" si="65"/>
        <v>0</v>
      </c>
    </row>
    <row r="178" spans="4:12">
      <c r="D178" s="9"/>
      <c r="E178" s="9"/>
      <c r="F178" s="87"/>
      <c r="G178" s="9"/>
      <c r="H178" s="7"/>
      <c r="I178" s="14">
        <f t="shared" si="64"/>
        <v>0</v>
      </c>
      <c r="J178" s="59"/>
      <c r="K178" s="7">
        <v>8</v>
      </c>
      <c r="L178" s="14">
        <f t="shared" si="65"/>
        <v>0</v>
      </c>
    </row>
    <row r="179" spans="4:12">
      <c r="D179" s="9"/>
      <c r="E179" s="9"/>
      <c r="F179" s="87"/>
      <c r="G179" s="9"/>
      <c r="H179" s="7"/>
      <c r="I179" s="14">
        <f t="shared" si="64"/>
        <v>0</v>
      </c>
      <c r="J179" s="59"/>
      <c r="K179" s="7">
        <v>8</v>
      </c>
      <c r="L179" s="14">
        <f t="shared" si="65"/>
        <v>0</v>
      </c>
    </row>
    <row r="180" spans="4:12">
      <c r="D180" s="9"/>
      <c r="E180" s="1"/>
      <c r="F180" s="87"/>
      <c r="G180" s="9"/>
      <c r="H180" s="7"/>
      <c r="I180" s="14">
        <f t="shared" si="64"/>
        <v>0</v>
      </c>
      <c r="J180" s="59"/>
      <c r="K180" s="7">
        <v>8</v>
      </c>
      <c r="L180" s="14">
        <f t="shared" si="65"/>
        <v>0</v>
      </c>
    </row>
    <row r="181" spans="4:12">
      <c r="D181" s="9"/>
      <c r="E181" s="1"/>
      <c r="F181" s="87"/>
      <c r="G181" s="9"/>
      <c r="H181" s="7"/>
      <c r="I181" s="14">
        <f t="shared" si="64"/>
        <v>0</v>
      </c>
      <c r="J181" s="59"/>
      <c r="K181" s="7">
        <v>8</v>
      </c>
      <c r="L181" s="14">
        <f t="shared" si="65"/>
        <v>0</v>
      </c>
    </row>
    <row r="182" spans="4:12">
      <c r="D182" s="9"/>
      <c r="E182" s="1"/>
      <c r="F182" s="87"/>
      <c r="G182" s="9"/>
      <c r="H182" s="7"/>
      <c r="I182" s="14">
        <f t="shared" si="64"/>
        <v>0</v>
      </c>
      <c r="J182" s="59"/>
      <c r="K182" s="7">
        <v>8</v>
      </c>
      <c r="L182" s="14">
        <f t="shared" si="65"/>
        <v>0</v>
      </c>
    </row>
    <row r="183" spans="4:12">
      <c r="D183" s="9"/>
      <c r="E183" s="10"/>
      <c r="F183" s="87"/>
      <c r="G183" s="9"/>
      <c r="H183" s="7"/>
      <c r="I183" s="14">
        <f t="shared" si="64"/>
        <v>0</v>
      </c>
      <c r="J183" s="59"/>
      <c r="K183" s="7">
        <v>8</v>
      </c>
      <c r="L183" s="14">
        <f t="shared" si="65"/>
        <v>0</v>
      </c>
    </row>
    <row r="184" spans="4:12">
      <c r="D184" s="9"/>
      <c r="E184" s="10"/>
      <c r="F184" s="87"/>
      <c r="G184" s="9"/>
      <c r="H184" s="7"/>
      <c r="I184" s="14">
        <f t="shared" si="64"/>
        <v>0</v>
      </c>
      <c r="J184" s="59"/>
      <c r="K184" s="7">
        <v>8</v>
      </c>
      <c r="L184" s="14">
        <f t="shared" si="65"/>
        <v>0</v>
      </c>
    </row>
    <row r="185" spans="4:12">
      <c r="D185" s="9"/>
      <c r="E185" s="10"/>
      <c r="F185" s="87"/>
      <c r="G185" s="9"/>
      <c r="H185" s="7"/>
      <c r="I185" s="14">
        <f t="shared" si="64"/>
        <v>0</v>
      </c>
      <c r="J185" s="59"/>
      <c r="K185" s="7">
        <v>8</v>
      </c>
      <c r="L185" s="14">
        <f t="shared" si="65"/>
        <v>0</v>
      </c>
    </row>
    <row r="186" spans="4:12">
      <c r="D186" s="9"/>
      <c r="E186" s="9"/>
      <c r="F186" s="87"/>
      <c r="G186" s="9"/>
      <c r="H186" s="7"/>
      <c r="I186" s="14">
        <f t="shared" si="64"/>
        <v>0</v>
      </c>
      <c r="J186" s="59"/>
      <c r="K186" s="7">
        <v>8</v>
      </c>
      <c r="L186" s="14">
        <f t="shared" si="65"/>
        <v>0</v>
      </c>
    </row>
    <row r="187" spans="4:12">
      <c r="D187" s="9"/>
      <c r="E187" s="9"/>
      <c r="F187" s="87"/>
      <c r="G187" s="9"/>
      <c r="H187" s="7"/>
      <c r="I187" s="14">
        <f t="shared" si="64"/>
        <v>0</v>
      </c>
      <c r="J187" s="59"/>
      <c r="K187" s="7">
        <v>8</v>
      </c>
      <c r="L187" s="14">
        <f t="shared" si="65"/>
        <v>0</v>
      </c>
    </row>
    <row r="188" spans="4:12">
      <c r="D188" s="9"/>
      <c r="E188" s="9"/>
      <c r="F188" s="87"/>
      <c r="G188" s="9"/>
      <c r="H188" s="7"/>
      <c r="I188" s="14">
        <f t="shared" si="64"/>
        <v>0</v>
      </c>
      <c r="J188" s="59"/>
      <c r="K188" s="7">
        <v>8</v>
      </c>
      <c r="L188" s="14">
        <f t="shared" si="65"/>
        <v>0</v>
      </c>
    </row>
    <row r="189" spans="4:12">
      <c r="D189" s="9"/>
      <c r="E189" s="9"/>
      <c r="F189" s="87"/>
      <c r="G189" s="9"/>
      <c r="H189" s="7"/>
      <c r="I189" s="14">
        <f t="shared" si="64"/>
        <v>0</v>
      </c>
      <c r="J189" s="59"/>
      <c r="K189" s="7">
        <v>8</v>
      </c>
      <c r="L189" s="14">
        <f t="shared" si="65"/>
        <v>0</v>
      </c>
    </row>
    <row r="190" spans="4:12">
      <c r="D190" s="9"/>
      <c r="E190" s="9"/>
      <c r="F190" s="87"/>
      <c r="G190" s="9"/>
      <c r="H190" s="7"/>
      <c r="I190" s="14">
        <f t="shared" si="64"/>
        <v>0</v>
      </c>
      <c r="J190" s="59"/>
      <c r="K190" s="7">
        <v>8</v>
      </c>
      <c r="L190" s="14">
        <f t="shared" si="65"/>
        <v>0</v>
      </c>
    </row>
    <row r="191" spans="4:12">
      <c r="D191" s="9"/>
      <c r="E191" s="9"/>
      <c r="F191" s="87"/>
      <c r="G191" s="9"/>
      <c r="H191" s="7"/>
      <c r="I191" s="14">
        <f t="shared" si="64"/>
        <v>0</v>
      </c>
      <c r="J191" s="59"/>
      <c r="K191" s="7">
        <v>8</v>
      </c>
      <c r="L191" s="14">
        <f t="shared" si="65"/>
        <v>0</v>
      </c>
    </row>
    <row r="192" spans="4:12">
      <c r="D192" s="9"/>
      <c r="E192" s="9"/>
      <c r="F192" s="87"/>
      <c r="G192" s="9"/>
      <c r="H192" s="7"/>
      <c r="I192" s="14">
        <f t="shared" si="64"/>
        <v>0</v>
      </c>
      <c r="J192" s="59"/>
      <c r="K192" s="7">
        <v>8</v>
      </c>
      <c r="L192" s="14">
        <f t="shared" si="65"/>
        <v>0</v>
      </c>
    </row>
    <row r="193" spans="4:12">
      <c r="D193" s="9"/>
      <c r="E193" s="9"/>
      <c r="F193" s="87"/>
      <c r="G193" s="9"/>
      <c r="H193" s="7"/>
      <c r="I193" s="14">
        <f t="shared" si="64"/>
        <v>0</v>
      </c>
      <c r="J193" s="59"/>
      <c r="K193" s="7">
        <v>8</v>
      </c>
      <c r="L193" s="14">
        <f t="shared" si="65"/>
        <v>0</v>
      </c>
    </row>
    <row r="194" spans="4:12">
      <c r="D194" s="9"/>
      <c r="E194" s="9"/>
      <c r="F194" s="87"/>
      <c r="G194" s="9"/>
      <c r="H194" s="7"/>
      <c r="I194" s="14">
        <f t="shared" si="64"/>
        <v>0</v>
      </c>
      <c r="J194" s="59"/>
      <c r="K194" s="7">
        <v>8</v>
      </c>
      <c r="L194" s="14">
        <f t="shared" si="65"/>
        <v>0</v>
      </c>
    </row>
    <row r="195" spans="4:12">
      <c r="D195" s="9"/>
      <c r="E195" s="9"/>
      <c r="F195" s="87"/>
      <c r="G195" s="9"/>
      <c r="H195" s="7"/>
      <c r="I195" s="14">
        <f t="shared" si="64"/>
        <v>0</v>
      </c>
      <c r="J195" s="59"/>
      <c r="K195" s="7">
        <v>8</v>
      </c>
      <c r="L195" s="14">
        <f t="shared" si="65"/>
        <v>0</v>
      </c>
    </row>
    <row r="196" spans="4:12">
      <c r="D196" s="9"/>
      <c r="E196" s="9"/>
      <c r="F196" s="87"/>
      <c r="G196" s="9"/>
      <c r="H196" s="7"/>
      <c r="I196" s="14">
        <f t="shared" si="64"/>
        <v>0</v>
      </c>
      <c r="J196" s="59"/>
      <c r="K196" s="7">
        <v>8</v>
      </c>
      <c r="L196" s="14">
        <f t="shared" si="65"/>
        <v>0</v>
      </c>
    </row>
    <row r="197" spans="4:12">
      <c r="D197" s="9"/>
      <c r="E197" s="9"/>
      <c r="F197" s="88"/>
      <c r="G197" s="9"/>
      <c r="H197" s="7"/>
      <c r="I197" s="14">
        <f t="shared" si="64"/>
        <v>0</v>
      </c>
      <c r="J197" s="59"/>
      <c r="K197" s="7">
        <v>8</v>
      </c>
      <c r="L197" s="14">
        <f t="shared" si="65"/>
        <v>0</v>
      </c>
    </row>
  </sheetData>
  <autoFilter ref="C2:N91" xr:uid="{00000000-0001-0000-0000-000000000000}"/>
  <phoneticPr fontId="23" type="noConversion"/>
  <conditionalFormatting sqref="E186:E196 E173:E179">
    <cfRule type="duplicateValues" dxfId="8" priority="1"/>
  </conditionalFormatting>
  <conditionalFormatting sqref="G1:G89 G91:G102 G104:G1048576">
    <cfRule type="duplicateValues" dxfId="7" priority="16"/>
    <cfRule type="duplicateValues" dxfId="6" priority="17"/>
    <cfRule type="duplicateValues" dxfId="5" priority="18"/>
  </conditionalFormatting>
  <conditionalFormatting sqref="G2">
    <cfRule type="duplicateValues" dxfId="4" priority="12"/>
  </conditionalFormatting>
  <conditionalFormatting sqref="E141:E143 E133:E137">
    <cfRule type="duplicateValues" dxfId="3" priority="44"/>
  </conditionalFormatting>
  <conditionalFormatting sqref="E148:E155 E162:E172">
    <cfRule type="duplicateValues" dxfId="0" priority="6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00C5-C2E8-45D7-8146-C69442C2D788}">
  <sheetPr codeName="Sheet3"/>
  <dimension ref="E2:E21"/>
  <sheetViews>
    <sheetView workbookViewId="0">
      <selection activeCell="J11" sqref="J11"/>
    </sheetView>
  </sheetViews>
  <sheetFormatPr defaultRowHeight="14.5"/>
  <cols>
    <col min="5" max="5" width="15.36328125" bestFit="1" customWidth="1"/>
  </cols>
  <sheetData>
    <row r="2" spans="5:5">
      <c r="E2" s="36" t="s">
        <v>74</v>
      </c>
    </row>
    <row r="3" spans="5:5">
      <c r="E3" s="36" t="s">
        <v>75</v>
      </c>
    </row>
    <row r="4" spans="5:5">
      <c r="E4" s="36" t="s">
        <v>76</v>
      </c>
    </row>
    <row r="5" spans="5:5">
      <c r="E5" s="36" t="s">
        <v>77</v>
      </c>
    </row>
    <row r="6" spans="5:5">
      <c r="E6" t="s">
        <v>78</v>
      </c>
    </row>
    <row r="7" spans="5:5">
      <c r="E7" s="9" t="s">
        <v>79</v>
      </c>
    </row>
    <row r="8" spans="5:5">
      <c r="E8" s="21" t="s">
        <v>80</v>
      </c>
    </row>
    <row r="9" spans="5:5">
      <c r="E9" s="21" t="s">
        <v>86</v>
      </c>
    </row>
    <row r="10" spans="5:5">
      <c r="E10" s="9" t="s">
        <v>72</v>
      </c>
    </row>
    <row r="11" spans="5:5">
      <c r="E11" s="9" t="s">
        <v>73</v>
      </c>
    </row>
    <row r="12" spans="5:5">
      <c r="E12" s="6" t="s">
        <v>9</v>
      </c>
    </row>
    <row r="13" spans="5:5">
      <c r="E13" s="10" t="s">
        <v>12</v>
      </c>
    </row>
    <row r="14" spans="5:5">
      <c r="E14" s="1" t="s">
        <v>15</v>
      </c>
    </row>
    <row r="15" spans="5:5">
      <c r="E15" s="1" t="s">
        <v>18</v>
      </c>
    </row>
    <row r="16" spans="5:5">
      <c r="E16" s="10" t="s">
        <v>21</v>
      </c>
    </row>
    <row r="17" spans="5:5">
      <c r="E17" s="10" t="s">
        <v>24</v>
      </c>
    </row>
    <row r="18" spans="5:5">
      <c r="E18" s="1" t="s">
        <v>27</v>
      </c>
    </row>
    <row r="19" spans="5:5">
      <c r="E19" s="1" t="s">
        <v>29</v>
      </c>
    </row>
    <row r="20" spans="5:5">
      <c r="E20" s="1" t="s">
        <v>34</v>
      </c>
    </row>
    <row r="21" spans="5:5" ht="17">
      <c r="E21" s="2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E2:L40"/>
  <sheetViews>
    <sheetView workbookViewId="0">
      <selection activeCell="H2" sqref="H2:I22"/>
    </sheetView>
  </sheetViews>
  <sheetFormatPr defaultColWidth="8.7265625" defaultRowHeight="14.5"/>
  <cols>
    <col min="2" max="2" width="12.453125" customWidth="1"/>
    <col min="5" max="5" width="28.7265625" bestFit="1" customWidth="1"/>
    <col min="6" max="6" width="15.36328125" bestFit="1" customWidth="1"/>
    <col min="8" max="8" width="15.36328125" bestFit="1" customWidth="1"/>
    <col min="9" max="9" width="12.54296875" bestFit="1" customWidth="1"/>
    <col min="11" max="11" width="15.36328125" bestFit="1" customWidth="1"/>
  </cols>
  <sheetData>
    <row r="2" spans="5:12">
      <c r="H2" s="6" t="s">
        <v>9</v>
      </c>
      <c r="I2" s="72">
        <f>VLOOKUP(H2,Sheet1!$E$3:$F$95,2,0)</f>
        <v>3435000</v>
      </c>
      <c r="K2" s="79" t="s">
        <v>9</v>
      </c>
      <c r="L2" s="79">
        <v>3435000</v>
      </c>
    </row>
    <row r="3" spans="5:12">
      <c r="E3" t="s">
        <v>34</v>
      </c>
      <c r="H3" s="10" t="s">
        <v>12</v>
      </c>
      <c r="I3" s="72">
        <f>VLOOKUP(H3,Sheet1!$E$3:$F$95,2,0)</f>
        <v>108000</v>
      </c>
      <c r="K3" s="79" t="s">
        <v>12</v>
      </c>
      <c r="L3" s="79">
        <v>108000</v>
      </c>
    </row>
    <row r="4" spans="5:12">
      <c r="E4" t="s">
        <v>61</v>
      </c>
      <c r="H4" t="s">
        <v>27</v>
      </c>
      <c r="I4" s="72">
        <f>VLOOKUP(H4,Sheet1!$E$3:$F$95,2,0)</f>
        <v>978000</v>
      </c>
      <c r="K4" s="79" t="s">
        <v>27</v>
      </c>
      <c r="L4" s="79">
        <v>978000</v>
      </c>
    </row>
    <row r="5" spans="5:12">
      <c r="E5" t="s">
        <v>9</v>
      </c>
      <c r="H5" t="s">
        <v>56</v>
      </c>
      <c r="I5" s="72">
        <f>VLOOKUP(H5,Sheet1!$E$3:$F$95,2,0)</f>
        <v>978000</v>
      </c>
      <c r="K5" s="79" t="s">
        <v>27</v>
      </c>
      <c r="L5" s="79">
        <v>978000</v>
      </c>
    </row>
    <row r="6" spans="5:12">
      <c r="E6" t="s">
        <v>62</v>
      </c>
      <c r="H6" t="s">
        <v>34</v>
      </c>
      <c r="I6" s="72">
        <f>VLOOKUP(H6,Sheet1!$E$3:$F$95,2,0)</f>
        <v>3105000</v>
      </c>
      <c r="K6" s="79" t="s">
        <v>56</v>
      </c>
      <c r="L6" s="79">
        <v>978000</v>
      </c>
    </row>
    <row r="7" spans="5:12">
      <c r="E7" t="s">
        <v>63</v>
      </c>
      <c r="H7" s="1" t="s">
        <v>15</v>
      </c>
      <c r="I7" s="72">
        <f>VLOOKUP(H7,Sheet1!$E$3:$F$95,2,0)</f>
        <v>189000</v>
      </c>
      <c r="K7" s="79" t="s">
        <v>34</v>
      </c>
      <c r="L7" s="79">
        <v>3105000</v>
      </c>
    </row>
    <row r="8" spans="5:12">
      <c r="E8" t="s">
        <v>64</v>
      </c>
      <c r="H8" s="1" t="s">
        <v>18</v>
      </c>
      <c r="I8" s="72">
        <f>VLOOKUP(H8,Sheet1!$E$3:$F$95,2,0)</f>
        <v>119000</v>
      </c>
      <c r="K8" s="79" t="s">
        <v>15</v>
      </c>
      <c r="L8" s="79">
        <v>189000</v>
      </c>
    </row>
    <row r="9" spans="5:12">
      <c r="E9" t="s">
        <v>65</v>
      </c>
      <c r="H9" s="10" t="s">
        <v>21</v>
      </c>
      <c r="I9" s="72">
        <f>VLOOKUP(H9,Sheet1!$E$3:$F$95,2,0)</f>
        <v>66000</v>
      </c>
      <c r="K9" s="79" t="s">
        <v>18</v>
      </c>
      <c r="L9" s="79">
        <v>119000</v>
      </c>
    </row>
    <row r="10" spans="5:12">
      <c r="E10" t="s">
        <v>66</v>
      </c>
      <c r="H10" s="10" t="s">
        <v>24</v>
      </c>
      <c r="I10" s="72">
        <f>VLOOKUP(H10,Sheet1!$E$3:$F$95,2,0)</f>
        <v>71000</v>
      </c>
      <c r="K10" s="79" t="s">
        <v>21</v>
      </c>
      <c r="L10" s="79">
        <v>66000</v>
      </c>
    </row>
    <row r="11" spans="5:12">
      <c r="E11" t="s">
        <v>67</v>
      </c>
      <c r="H11" t="s">
        <v>29</v>
      </c>
      <c r="I11" s="72">
        <f>VLOOKUP(H11,Sheet1!$E$3:$F$95,2,0)</f>
        <v>57000</v>
      </c>
      <c r="K11" s="79" t="s">
        <v>24</v>
      </c>
      <c r="L11" s="79">
        <v>71000</v>
      </c>
    </row>
    <row r="12" spans="5:12">
      <c r="E12" t="s">
        <v>12</v>
      </c>
      <c r="H12" t="s">
        <v>73</v>
      </c>
      <c r="I12" s="72">
        <f>VLOOKUP(H12,Sheet1!$E$3:$F$95,2,0)</f>
        <v>714000</v>
      </c>
      <c r="K12" s="79" t="s">
        <v>29</v>
      </c>
      <c r="L12" s="79">
        <v>57000</v>
      </c>
    </row>
    <row r="13" spans="5:12">
      <c r="E13" t="s">
        <v>68</v>
      </c>
      <c r="H13" t="s">
        <v>74</v>
      </c>
      <c r="I13" s="72">
        <f>VLOOKUP(H13,Sheet1!$E$3:$F$95,2,0)</f>
        <v>284000</v>
      </c>
      <c r="K13" s="79" t="s">
        <v>73</v>
      </c>
      <c r="L13" s="79">
        <v>714000</v>
      </c>
    </row>
    <row r="14" spans="5:12">
      <c r="E14" t="s">
        <v>69</v>
      </c>
      <c r="H14" t="s">
        <v>75</v>
      </c>
      <c r="I14" s="72">
        <f>VLOOKUP(H14,Sheet1!$E$3:$F$95,2,0)</f>
        <v>189000</v>
      </c>
      <c r="K14" s="79" t="s">
        <v>74</v>
      </c>
      <c r="L14" s="79">
        <v>284000</v>
      </c>
    </row>
    <row r="15" spans="5:12">
      <c r="E15" t="s">
        <v>70</v>
      </c>
      <c r="H15" t="s">
        <v>76</v>
      </c>
      <c r="I15" s="72">
        <f>VLOOKUP(H15,Sheet1!$E$3:$F$95,2,0)</f>
        <v>109000</v>
      </c>
      <c r="K15" s="79" t="s">
        <v>75</v>
      </c>
      <c r="L15" s="79">
        <v>189000</v>
      </c>
    </row>
    <row r="16" spans="5:12">
      <c r="E16" t="s">
        <v>71</v>
      </c>
      <c r="H16" t="s">
        <v>77</v>
      </c>
      <c r="I16" s="72">
        <f>VLOOKUP(H16,Sheet1!$E$3:$F$95,2,0)</f>
        <v>284000</v>
      </c>
      <c r="K16" s="79" t="s">
        <v>76</v>
      </c>
      <c r="L16" s="79">
        <v>109000</v>
      </c>
    </row>
    <row r="17" spans="5:12">
      <c r="E17" t="s">
        <v>15</v>
      </c>
      <c r="H17" t="s">
        <v>78</v>
      </c>
      <c r="I17" s="72">
        <f>VLOOKUP(H17,Sheet1!$E$3:$F$95,2,0)</f>
        <v>166000</v>
      </c>
      <c r="K17" s="79" t="s">
        <v>77</v>
      </c>
      <c r="L17" s="79">
        <v>284000</v>
      </c>
    </row>
    <row r="18" spans="5:12">
      <c r="E18" t="s">
        <v>72</v>
      </c>
      <c r="H18" t="s">
        <v>79</v>
      </c>
      <c r="I18" s="72">
        <f>VLOOKUP(H18,Sheet1!$E$3:$F$95,2,0)</f>
        <v>293000</v>
      </c>
      <c r="K18" s="79" t="s">
        <v>78</v>
      </c>
      <c r="L18" s="79">
        <v>166000</v>
      </c>
    </row>
    <row r="19" spans="5:12">
      <c r="E19" t="s">
        <v>73</v>
      </c>
      <c r="H19" t="s">
        <v>80</v>
      </c>
      <c r="I19" s="72">
        <f>VLOOKUP(H19,Sheet1!$E$3:$F$95,2,0)</f>
        <v>360000</v>
      </c>
      <c r="K19" s="79" t="s">
        <v>79</v>
      </c>
      <c r="L19" s="79">
        <v>293000</v>
      </c>
    </row>
    <row r="20" spans="5:12">
      <c r="E20" t="s">
        <v>74</v>
      </c>
      <c r="H20" t="s">
        <v>86</v>
      </c>
      <c r="I20" s="72">
        <f>VLOOKUP(H20,Sheet1!$E$3:$F$95,2,0)</f>
        <v>628000</v>
      </c>
      <c r="K20" s="79" t="s">
        <v>80</v>
      </c>
      <c r="L20" s="79">
        <v>360000</v>
      </c>
    </row>
    <row r="21" spans="5:12">
      <c r="E21" t="s">
        <v>75</v>
      </c>
      <c r="H21" t="s">
        <v>72</v>
      </c>
      <c r="I21" s="72">
        <f>VLOOKUP(H21,Sheet1!$E$3:$F$95,2,0)</f>
        <v>246000</v>
      </c>
      <c r="K21" s="79" t="s">
        <v>86</v>
      </c>
      <c r="L21" s="79">
        <v>628000</v>
      </c>
    </row>
    <row r="22" spans="5:12">
      <c r="E22" t="s">
        <v>76</v>
      </c>
      <c r="H22" t="s">
        <v>147</v>
      </c>
      <c r="I22" s="74">
        <v>174000</v>
      </c>
      <c r="K22" s="79" t="s">
        <v>72</v>
      </c>
      <c r="L22" s="79">
        <v>246000</v>
      </c>
    </row>
    <row r="23" spans="5:12">
      <c r="E23" t="s">
        <v>77</v>
      </c>
      <c r="K23" t="s">
        <v>147</v>
      </c>
      <c r="L23" s="74">
        <v>174000</v>
      </c>
    </row>
    <row r="24" spans="5:12">
      <c r="E24" t="s">
        <v>78</v>
      </c>
    </row>
    <row r="25" spans="5:12">
      <c r="E25" t="s">
        <v>79</v>
      </c>
      <c r="H25" s="1"/>
    </row>
    <row r="26" spans="5:12">
      <c r="E26" t="s">
        <v>80</v>
      </c>
      <c r="H26" s="1"/>
    </row>
    <row r="27" spans="5:12">
      <c r="E27" t="s">
        <v>81</v>
      </c>
      <c r="H27" s="10"/>
    </row>
    <row r="28" spans="5:12">
      <c r="E28" t="s">
        <v>82</v>
      </c>
      <c r="H28" s="10"/>
    </row>
    <row r="29" spans="5:12">
      <c r="E29" t="s">
        <v>18</v>
      </c>
    </row>
    <row r="30" spans="5:12">
      <c r="E30" t="s">
        <v>21</v>
      </c>
    </row>
    <row r="31" spans="5:12">
      <c r="E31" t="s">
        <v>83</v>
      </c>
    </row>
    <row r="32" spans="5:12">
      <c r="E32" t="s">
        <v>24</v>
      </c>
    </row>
    <row r="33" spans="5:5">
      <c r="E33" t="s">
        <v>84</v>
      </c>
    </row>
    <row r="34" spans="5:5">
      <c r="E34" t="s">
        <v>85</v>
      </c>
    </row>
    <row r="35" spans="5:5">
      <c r="E35" t="s">
        <v>86</v>
      </c>
    </row>
    <row r="36" spans="5:5">
      <c r="E36" t="s">
        <v>87</v>
      </c>
    </row>
    <row r="37" spans="5:5">
      <c r="E37" t="s">
        <v>29</v>
      </c>
    </row>
    <row r="38" spans="5:5">
      <c r="E38" t="s">
        <v>88</v>
      </c>
    </row>
    <row r="39" spans="5:5">
      <c r="E39" t="s">
        <v>89</v>
      </c>
    </row>
    <row r="40" spans="5:5">
      <c r="E40" t="s">
        <v>90</v>
      </c>
    </row>
  </sheetData>
  <conditionalFormatting sqref="E1:E1048576">
    <cfRule type="duplicateValues" dxfId="2" priority="2"/>
  </conditionalFormatting>
  <conditionalFormatting sqref="H25:H1048576 H11:H21 H4:H6 H1">
    <cfRule type="duplicateValues" dxfId="1" priority="2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TVH201130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Phi Nguyen/Nguyễn Đức Phi</dc:creator>
  <cp:lastModifiedBy>Duc Phi Nguyen/Nguyễn Đức Phi</cp:lastModifiedBy>
  <dcterms:created xsi:type="dcterms:W3CDTF">2025-07-05T07:40:00Z</dcterms:created>
  <dcterms:modified xsi:type="dcterms:W3CDTF">2026-10-20T03:50:42Z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5C5356C699EE46518ECD07133AE5E570_12</vt:lpwstr>
  </property>
  <property fmtid="{D5CDD505-2E9C-101B-9397-08002B2CF9AE}" pid="3" name="KSOProductBuildVer">
    <vt:lpwstr>1033-12.2.0.21546</vt:lpwstr>
  </property>
</Properties>
</file>